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ditais" sheetId="1" state="visible" r:id="rId1"/>
    <sheet name="Lei do Esporte" sheetId="2" state="visible" r:id="rId2"/>
    <sheet name="Parecerista" sheetId="3" state="visible" r:id="rId3"/>
  </sheets>
  <definedNames>
    <definedName name="_xlnm._FilterDatabase" localSheetId="0" hidden="1">'Editais'!$A$1:$L$45</definedName>
    <definedName name="_xlnm._FilterDatabase" localSheetId="1" hidden="1">'Lei do Esporte'!$A$1:$L$13</definedName>
    <definedName name="_xlnm._FilterDatabase" localSheetId="2" hidden="1">'Parecerista'!$A$1:$L$8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color theme="1"/>
      <sz val="10"/>
    </font>
    <font>
      <name val="Arial"/>
      <b val="1"/>
      <color theme="1"/>
      <sz val="10"/>
    </font>
    <font>
      <name val="Arial"/>
      <color rgb="FF0563C1"/>
      <sz val="10"/>
      <u val="single"/>
    </font>
    <font>
      <name val="Arial"/>
      <color rgb="FF0563C1"/>
      <sz val="10"/>
      <u val="single"/>
    </font>
    <font>
      <name val="Arial"/>
      <i val="1"/>
      <color theme="1"/>
      <sz val="9"/>
    </font>
  </fonts>
  <fills count="4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164" fontId="2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prosas.com.br/editais/16452-edital-ambev-brasilidades-2026" TargetMode="External" Id="rId1" /><Relationship Type="http://schemas.openxmlformats.org/officeDocument/2006/relationships/hyperlink" Target="https://www.editaisapaa.org.br/" TargetMode="External" Id="rId2" /><Relationship Type="http://schemas.openxmlformats.org/officeDocument/2006/relationships/hyperlink" Target="https://www.fundacaosicredi.com.br/" TargetMode="External" Id="rId3" /><Relationship Type="http://schemas.openxmlformats.org/officeDocument/2006/relationships/hyperlink" Target="https://mapfre.hubdoincentivo.com.br/" TargetMode="External" Id="rId4" /><Relationship Type="http://schemas.openxmlformats.org/officeDocument/2006/relationships/hyperlink" Target="https://hal.ica-ip.pt/registo" TargetMode="External" Id="rId5" /><Relationship Type="http://schemas.openxmlformats.org/officeDocument/2006/relationships/hyperlink" Target="https://www.ibermusicas.org/index.php/convocatorias-pt/" TargetMode="External" Id="rId6" /><Relationship Type="http://schemas.openxmlformats.org/officeDocument/2006/relationships/hyperlink" Target="https://patrocinio.embratur.com.br/" TargetMode="External" Id="rId7" /><Relationship Type="http://schemas.openxmlformats.org/officeDocument/2006/relationships/hyperlink" Target="https://prosas.com.br/editais/18659-edital-rede-memoria-viva-iniciativa-viva-pequena-africa" TargetMode="External" Id="rId8" /><Relationship Type="http://schemas.openxmlformats.org/officeDocument/2006/relationships/hyperlink" Target="https://salic.cultura.gov.br/" TargetMode="External" Id="rId9" /><Relationship Type="http://schemas.openxmlformats.org/officeDocument/2006/relationships/hyperlink" Target="https://prosas.com.br/editais/18622" TargetMode="External" Id="rId10" /><Relationship Type="http://schemas.openxmlformats.org/officeDocument/2006/relationships/hyperlink" Target="https://www.tribunadosertao.com.br/cidades/2026/09/21/982971-maceio-abre-seis-editais-culturais-com-r-41-milhoes-e-517-oportunidades" TargetMode="External" Id="rId11" /><Relationship Type="http://schemas.openxmlformats.org/officeDocument/2006/relationships/hyperlink" Target="https://spcine.com.br/editais-de-fomento/" TargetMode="External" Id="rId12" /><Relationship Type="http://schemas.openxmlformats.org/officeDocument/2006/relationships/hyperlink" Target="https://prosas.com.br/editais/15182" TargetMode="External" Id="rId13" /><Relationship Type="http://schemas.openxmlformats.org/officeDocument/2006/relationships/hyperlink" Target="https://prosas.com.br/editais/17235-banco-de-projetos-incentivados-municipais-2026-santos-brasil" TargetMode="External" Id="rId14" /><Relationship Type="http://schemas.openxmlformats.org/officeDocument/2006/relationships/hyperlink" Target="https://www.editaisapaa.org.br/" TargetMode="External" Id="rId15" /><Relationship Type="http://schemas.openxmlformats.org/officeDocument/2006/relationships/hyperlink" Target="https://salic.cultura.gov.br/" TargetMode="External" Id="rId16" /><Relationship Type="http://schemas.openxmlformats.org/officeDocument/2006/relationships/hyperlink" Target="https://maisbaluarte.com.br/patrocinioshell" TargetMode="External" Id="rId17" /><Relationship Type="http://schemas.openxmlformats.org/officeDocument/2006/relationships/hyperlink" Target="https://institutoculturalvale.org/solicitacao-de-patrocinios/" TargetMode="External" Id="rId18" /><Relationship Type="http://schemas.openxmlformats.org/officeDocument/2006/relationships/hyperlink" Target="https://www.cultura.sp.gov.br/sec_cultura" TargetMode="External" Id="rId19" /><Relationship Type="http://schemas.openxmlformats.org/officeDocument/2006/relationships/hyperlink" Target="https://prosas.com.br/editais/19047" TargetMode="External" Id="rId20" /><Relationship Type="http://schemas.openxmlformats.org/officeDocument/2006/relationships/hyperlink" Target="https://mapa.cultura.gov.br/oportunidade/8012/" TargetMode="External" Id="rId21" /><Relationship Type="http://schemas.openxmlformats.org/officeDocument/2006/relationships/hyperlink" Target="http://www.riofilme.com.br/" TargetMode="External" Id="rId22" /><Relationship Type="http://schemas.openxmlformats.org/officeDocument/2006/relationships/hyperlink" Target="https://prosas.com.br/editais/17327" TargetMode="External" Id="rId23" /><Relationship Type="http://schemas.openxmlformats.org/officeDocument/2006/relationships/hyperlink" Target="https://siic.cultura.ba.gov.br/clique_fomento/inscricoes/index" TargetMode="External" Id="rId24" /><Relationship Type="http://schemas.openxmlformats.org/officeDocument/2006/relationships/hyperlink" Target="https://prosas.com.br/editais/17421" TargetMode="External" Id="rId25" /><Relationship Type="http://schemas.openxmlformats.org/officeDocument/2006/relationships/hyperlink" Target="https://www.gov.br/funarte/pt-br/editais-1/2026/programa-funarte-aberta" TargetMode="External" Id="rId26" /><Relationship Type="http://schemas.openxmlformats.org/officeDocument/2006/relationships/hyperlink" Target="https://bip.prosas.com.br/" TargetMode="External" Id="rId27" /><Relationship Type="http://schemas.openxmlformats.org/officeDocument/2006/relationships/hyperlink" Target="https://www.bb.com.br/site/patrocinios/" TargetMode="External" Id="rId28" /><Relationship Type="http://schemas.openxmlformats.org/officeDocument/2006/relationships/hyperlink" Target="https://www.caixa.gov.br/patrocinios/Paginas/default.aspx" TargetMode="External" Id="rId29" /><Relationship Type="http://schemas.openxmlformats.org/officeDocument/2006/relationships/hyperlink" Target="https://prosas.com.br/editais/17727" TargetMode="External" Id="rId30" /><Relationship Type="http://schemas.openxmlformats.org/officeDocument/2006/relationships/hyperlink" Target="https://forms.office.com/Pages/ResponsePage.aspx?id=T-Syi1aESE6Tx6nG-VAlIDey3VzT_CFGnv07uWcyX9ZUN1dEQldLT1YyWlM3OVlJWVZZODlDUkNBMC4u" TargetMode="External" Id="rId31" /><Relationship Type="http://schemas.openxmlformats.org/officeDocument/2006/relationships/hyperlink" Target="https://www.gov.br/cultura/pt-br/assuntos/editais/inscricoes-abertas/edital-biblioteca-comunitaria-e-cultura-viva1/edital-biblioteca-comunitaria-e-cultura-viva" TargetMode="External" Id="rId32" /><Relationship Type="http://schemas.openxmlformats.org/officeDocument/2006/relationships/hyperlink" Target="https://google.incentiv.me/" TargetMode="External" Id="rId33" /><Relationship Type="http://schemas.openxmlformats.org/officeDocument/2006/relationships/hyperlink" Target="https://www.havan.com.br/patrocinios" TargetMode="External" Id="rId34" /><Relationship Type="http://schemas.openxmlformats.org/officeDocument/2006/relationships/hyperlink" Target="https://prosas.com.br/patrocinadores/92" TargetMode="External" Id="rId35" /><Relationship Type="http://schemas.openxmlformats.org/officeDocument/2006/relationships/hyperlink" Target="https://prosas.com.br/editais/15444-instituto-john-deere-banco-de-projetos-2025" TargetMode="External" Id="rId36" /><Relationship Type="http://schemas.openxmlformats.org/officeDocument/2006/relationships/hyperlink" Target="https://www.neoenergia.com/ca/web/instituto-neoenergia/inscreva-seu-projeto" TargetMode="External" Id="rId37" /><Relationship Type="http://schemas.openxmlformats.org/officeDocument/2006/relationships/hyperlink" Target="https://docs.google.com/forms/d/e/1FAIpQLSfcrwVk_8k7IwabrbmkDxK7-ongpnfLKXywdxI9GYwiZ01H1g/viewform" TargetMode="External" Id="rId38" /><Relationship Type="http://schemas.openxmlformats.org/officeDocument/2006/relationships/hyperlink" Target="https://www.claro.com.br/institucional/patrocinios" TargetMode="External" Id="rId39" /><Relationship Type="http://schemas.openxmlformats.org/officeDocument/2006/relationships/hyperlink" Target="https://prosas.com.br/editais/14253-patrocinio-cultural-incentivado-lojas-renner-sa" TargetMode="External" Id="rId40" /><Relationship Type="http://schemas.openxmlformats.org/officeDocument/2006/relationships/hyperlink" Target="https://gestaodepatrocinios.petrobras.com.br/pt" TargetMode="External" Id="rId41" /><Relationship Type="http://schemas.openxmlformats.org/officeDocument/2006/relationships/hyperlink" Target="https://www.cultura.pr.gov.br/Pagina/Mobilidade-Cultural-2a-edicao" TargetMode="External" Id="rId42" /><Relationship Type="http://schemas.openxmlformats.org/officeDocument/2006/relationships/hyperlink" Target="https://www.santander.com.br/institucional-santander/cultura/projetos-e-patrocinios" TargetMode="External" Id="rId43" /><Relationship Type="http://schemas.openxmlformats.org/officeDocument/2006/relationships/hyperlink" Target="https://vivo.com.br/a-vivo/a-empresa/patrocinios/cultura" TargetMode="External" Id="rId44" /></Relationships>
</file>

<file path=xl/worksheets/_rels/sheet2.xml.rels><Relationships xmlns="http://schemas.openxmlformats.org/package/2006/relationships"><Relationship Type="http://schemas.openxmlformats.org/officeDocument/2006/relationships/hyperlink" Target="https://prosas.com.br/editais/16452-edital-ambev-brasilidades-2026" TargetMode="External" Id="rId1" /><Relationship Type="http://schemas.openxmlformats.org/officeDocument/2006/relationships/hyperlink" Target="https://www.fundacaosicredi.com.br/" TargetMode="External" Id="rId2" /><Relationship Type="http://schemas.openxmlformats.org/officeDocument/2006/relationships/hyperlink" Target="https://mapfre.hubdoincentivo.com.br/" TargetMode="External" Id="rId3" /><Relationship Type="http://schemas.openxmlformats.org/officeDocument/2006/relationships/hyperlink" Target="https://prosas.com.br/editais/15181-edital-0032024-cadastro-de-projetos-da-lei-federal-de-incentivo-ao-esporte" TargetMode="External" Id="rId4" /><Relationship Type="http://schemas.openxmlformats.org/officeDocument/2006/relationships/hyperlink" Target="https://prosas.com.br/editais/17235-banco-de-projetos-incentivados-municipais-2026-santos-brasil" TargetMode="External" Id="rId5" /><Relationship Type="http://schemas.openxmlformats.org/officeDocument/2006/relationships/hyperlink" Target="https://www.esportes.sp.gov.br/sec_esportes/lei_paulista_de_incentivo_ao_esporte/lpie" TargetMode="External" Id="rId6" /><Relationship Type="http://schemas.openxmlformats.org/officeDocument/2006/relationships/hyperlink" Target="https://maisbaluarte.com.br/patrocinioshell" TargetMode="External" Id="rId7" /><Relationship Type="http://schemas.openxmlformats.org/officeDocument/2006/relationships/hyperlink" Target="https://prosas.com.br/editais/17521-edital-0012026-de-cadastro-de-projetos-do-programa-de-incentivo-ao-esporte-pie" TargetMode="External" Id="rId8" /><Relationship Type="http://schemas.openxmlformats.org/officeDocument/2006/relationships/hyperlink" Target="https://sli.mds.gov.br/" TargetMode="External" Id="rId9" /><Relationship Type="http://schemas.openxmlformats.org/officeDocument/2006/relationships/hyperlink" Target="https://bip.prosas.com.br/" TargetMode="External" Id="rId10" /><Relationship Type="http://schemas.openxmlformats.org/officeDocument/2006/relationships/hyperlink" Target="https://www.havan.com.br/patrocinios" TargetMode="External" Id="rId11" /><Relationship Type="http://schemas.openxmlformats.org/officeDocument/2006/relationships/hyperlink" Target="https://cbmm.com/pt/sustentabilidade/patrocinios-institucionais" TargetMode="External" Id="rId12" /></Relationships>
</file>

<file path=xl/worksheets/_rels/sheet3.xml.rels><Relationships xmlns="http://schemas.openxmlformats.org/package/2006/relationships"><Relationship Type="http://schemas.openxmlformats.org/officeDocument/2006/relationships/hyperlink" Target="https://mapa.cultura.gov.br/oportunidade/10466/" TargetMode="External" Id="rId1" /><Relationship Type="http://schemas.openxmlformats.org/officeDocument/2006/relationships/hyperlink" Target="https://prosas.com.br/editais/18788" TargetMode="External" Id="rId2" /><Relationship Type="http://schemas.openxmlformats.org/officeDocument/2006/relationships/hyperlink" Target="https://prosas.com.br/editais?status=abertos" TargetMode="External" Id="rId3" /><Relationship Type="http://schemas.openxmlformats.org/officeDocument/2006/relationships/hyperlink" Target="https://prosas.com.br/editais?status=abertos" TargetMode="External" Id="rId4" /><Relationship Type="http://schemas.openxmlformats.org/officeDocument/2006/relationships/hyperlink" Target="https://prosas.com.br/editais?status=abertos" TargetMode="External" Id="rId5" /><Relationship Type="http://schemas.openxmlformats.org/officeDocument/2006/relationships/hyperlink" Target="https://prosas.com.br/editais?status=abertos" TargetMode="External" Id="rId6" /><Relationship Type="http://schemas.openxmlformats.org/officeDocument/2006/relationships/hyperlink" Target="https://prosas.com.br/editais/16505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4" customWidth="1" style="13" min="1" max="1"/>
    <col width="40" customWidth="1" style="13" min="2" max="2"/>
    <col width="28" customWidth="1" style="13" min="3" max="4"/>
    <col width="18" customWidth="1" style="13" min="5" max="5"/>
    <col width="12" customWidth="1" style="13" min="6" max="6"/>
    <col width="11" customWidth="1" style="13" min="7" max="7"/>
    <col width="72" customWidth="1" style="13" min="8" max="8"/>
    <col width="45" customWidth="1" style="13" min="9" max="9"/>
    <col width="42" customWidth="1" style="13" min="10" max="10"/>
    <col width="18" customWidth="1" style="13" min="11" max="11"/>
    <col width="10" customWidth="1" style="13" min="12" max="12"/>
    <col width="8.710000000000001" customWidth="1" style="13" min="13" max="26"/>
  </cols>
  <sheetData>
    <row r="1" ht="30" customHeight="1" s="13">
      <c r="A1" s="1" t="inlineStr">
        <is>
          <t>#</t>
        </is>
      </c>
      <c r="B1" s="1" t="inlineStr">
        <is>
          <t>Edital / Programa</t>
        </is>
      </c>
      <c r="C1" s="1" t="inlineStr">
        <is>
          <t>Tipo de apoio</t>
        </is>
      </c>
      <c r="D1" s="1" t="inlineStr">
        <is>
          <t>Abrangência</t>
        </is>
      </c>
      <c r="E1" s="1" t="inlineStr">
        <is>
          <t>Prazo</t>
        </is>
      </c>
      <c r="F1" s="1" t="inlineStr">
        <is>
          <t>Data-limite</t>
        </is>
      </c>
      <c r="G1" s="1" t="inlineStr">
        <is>
          <t>Dias restantes</t>
        </is>
      </c>
      <c r="H1" s="1" t="inlineStr">
        <is>
          <t>Resumo</t>
        </is>
      </c>
      <c r="I1" s="1" t="inlineStr">
        <is>
          <t>Link de inscrição</t>
        </is>
      </c>
      <c r="J1" s="1" t="inlineStr">
        <is>
          <t>Observações</t>
        </is>
      </c>
      <c r="K1" s="1" t="inlineStr">
        <is>
          <t>Fonte</t>
        </is>
      </c>
      <c r="L1" s="1" t="inlineStr">
        <is>
          <t>Novo (24/09)</t>
        </is>
      </c>
    </row>
    <row r="2">
      <c r="A2" s="2" t="n">
        <v>1</v>
      </c>
      <c r="B2" s="3" t="inlineStr">
        <is>
          <t>Ambev Brasilidades 2026</t>
        </is>
      </c>
      <c r="C2" s="4" t="inlineStr">
        <is>
          <t>Patrocínio via leis ESTADUAIS de incentivo (cultura e esporte)</t>
        </is>
      </c>
      <c r="D2" s="4" t="inlineStr">
        <is>
          <t>27 leis estaduais — cultura em 16 estados (inclui Fazcultura/BA e Profice/PR) e esporte em 12</t>
        </is>
      </c>
      <c r="E2" s="2" t="inlineStr">
        <is>
          <t>30/09/2026 17h59</t>
        </is>
      </c>
      <c r="F2" s="5" t="n">
        <v>46295</v>
      </c>
      <c r="G2" s="2">
        <f>IF(ISNUMBER(F2),F2-TODAY(),"Fluxo contínuo")</f>
        <v/>
      </c>
      <c r="H2" s="4" t="inlineStr">
        <is>
          <t>Patrocínio a projetos culturais e esportivos que celebrem expressões brasileiras, já aprovados ou habilitados para captação em leis estaduais de incentivo. Pessoas jurídicas com ou sem fins lucrativos. Até R$ 67 milhões no total, distribuídos conforme disponibilidade em cada lei estadual. Inscrição pela plataforma Prosas (regulamento, FAQ e autodeclaração étnico-racial disponíveis na página).</t>
        </is>
      </c>
      <c r="I2" s="6" t="inlineStr">
        <is>
          <t>https://prosas.com.br/editais/16452-edital-ambev-brasilidades-2026</t>
        </is>
      </c>
      <c r="J2" s="4" t="inlineStr">
        <is>
          <t>Exige projeto já aprovado na lei estadual — para BA (Fazcultura) e PR (Profice) é preciso ter a aprovação em mãos.</t>
        </is>
      </c>
      <c r="K2" s="4" t="inlineStr">
        <is>
          <t>Prosas + BRB Law</t>
        </is>
      </c>
      <c r="L2" s="2" t="inlineStr">
        <is>
          <t>Sim</t>
        </is>
      </c>
    </row>
    <row r="3">
      <c r="A3" s="2" t="n">
        <v>2</v>
      </c>
      <c r="B3" s="3" t="inlineStr">
        <is>
          <t>Difusão CultSP 2026 (Secretaria da Cultura de SP / APAA)</t>
        </is>
      </c>
      <c r="C3" s="4" t="inlineStr">
        <is>
          <t>Edital público (fomento direto)</t>
        </is>
      </c>
      <c r="D3" s="4" t="inlineStr">
        <is>
          <t>Municípios do Estado de SP (exceto capital)</t>
        </is>
      </c>
      <c r="E3" s="2" t="inlineStr">
        <is>
          <t>30/09/2026</t>
        </is>
      </c>
      <c r="F3" s="5" t="n">
        <v>46295</v>
      </c>
      <c r="G3" s="2">
        <f>IF(ISNUMBER(F3),F3-TODAY(),"Fluxo contínuo")</f>
        <v/>
      </c>
      <c r="H3" s="4" t="inlineStr">
        <is>
          <t>Apoio a festas, celebrações, feiras e eventos culturais municipais do interior e litoral paulista, com até R$ 20 mil por projeto para infraestrutura e cachês artísticos. Inscrição pela plataforma de editais da APAA.</t>
        </is>
      </c>
      <c r="I3" s="6" t="inlineStr">
        <is>
          <t>https://www.editaisapaa.org.br/</t>
        </is>
      </c>
      <c r="J3" s="4" t="n"/>
      <c r="K3" s="4" t="inlineStr">
        <is>
          <t>Busca web (BRB Law)</t>
        </is>
      </c>
      <c r="L3" s="2" t="inlineStr">
        <is>
          <t>Sim</t>
        </is>
      </c>
    </row>
    <row r="4">
      <c r="A4" s="2" t="n">
        <v>3</v>
      </c>
      <c r="B4" s="3" t="inlineStr">
        <is>
          <t>Fundação Sicredi — Seleção de Projetos Incentivados 2026</t>
        </is>
      </c>
      <c r="C4" s="4" t="inlineStr">
        <is>
          <t>Patrocínio via leis de incentivo e fundos</t>
        </is>
      </c>
      <c r="D4" s="4" t="inlineStr">
        <is>
          <t>Nacional (áreas de atuação das cooperativas Sicredi)</t>
        </is>
      </c>
      <c r="E4" s="2" t="inlineStr">
        <is>
          <t>30/09/2026</t>
        </is>
      </c>
      <c r="F4" s="5" t="n">
        <v>46295</v>
      </c>
      <c r="G4" s="2">
        <f>IF(ISNUMBER(F4),F4-TODAY(),"Fluxo contínuo")</f>
        <v/>
      </c>
      <c r="H4" s="4" t="inlineStr">
        <is>
          <t>Recebimento de projetos aptos a captar via Lei Rouanet, Lei do Esporte, FMDCA, Fundo do Idoso, Pronon e Pronas, com foco em beneficiários em situação de vulnerabilidade social e ações gratuitas. Inscrição por formulário online (Microsoft Forms) divulgado pela Fundação Sicredi.</t>
        </is>
      </c>
      <c r="I4" s="6" t="inlineStr">
        <is>
          <t>https://www.fundacaosicredi.com.br/</t>
        </is>
      </c>
      <c r="J4" s="4" t="inlineStr">
        <is>
          <t>Link do formulário divulgado em: https://www.brblaw.com.br/novos-editais-culturais-com-inscricoes-abertas-confira-103/</t>
        </is>
      </c>
      <c r="K4" s="4" t="inlineStr">
        <is>
          <t>Busca web (BRB Law)</t>
        </is>
      </c>
      <c r="L4" s="2" t="inlineStr">
        <is>
          <t>Sim</t>
        </is>
      </c>
    </row>
    <row r="5">
      <c r="A5" s="2" t="n">
        <v>4</v>
      </c>
      <c r="B5" s="3" t="inlineStr">
        <is>
          <t>Mapfre — Edital Projetos Incentivados 2026</t>
        </is>
      </c>
      <c r="C5" s="4" t="inlineStr">
        <is>
          <t>Patrocínio via leis federais de incentivo</t>
        </is>
      </c>
      <c r="D5" s="4" t="inlineStr">
        <is>
          <t>Nacional</t>
        </is>
      </c>
      <c r="E5" s="2" t="inlineStr">
        <is>
          <t>30/09/2026 (cultura, esporte, FIA, Idoso, reciclagem); 15/12/2026 (Pronas/Pronon)</t>
        </is>
      </c>
      <c r="F5" s="5" t="n">
        <v>46295</v>
      </c>
      <c r="G5" s="2">
        <f>IF(ISNUMBER(F5),F5-TODAY(),"Fluxo contínuo")</f>
        <v/>
      </c>
      <c r="H5" s="4" t="inlineStr">
        <is>
          <t>Seleção de projetos em cultura, educação, meio ambiente, direitos humanos, esporte, saúde e qualidade de vida, aprovados em sete leis federais (Cultura/Rouanet, Esporte, Reciclagem, FIA, Fundo do Idoso, Pronas, Pronon). Elegíveis pessoas jurídicas sem fins lucrativos. Inscrições de 11/05 a 30/09/2026 no Hub do Incentivo; resultado previsto para janeiro de 2027.</t>
        </is>
      </c>
      <c r="I5" s="6" t="inlineStr">
        <is>
          <t>https://mapfre.hubdoincentivo.com.br/</t>
        </is>
      </c>
      <c r="J5" s="4" t="inlineStr">
        <is>
          <t>Edital em PDF: https://www.mapfre.com.br/media/edital-mapfre-2026-informacoes-vf.pdf</t>
        </is>
      </c>
      <c r="K5" s="4" t="inlineStr">
        <is>
          <t>Busca web (BRB Law / Mapfre)</t>
        </is>
      </c>
      <c r="L5" s="2" t="inlineStr">
        <is>
          <t>Sim</t>
        </is>
      </c>
    </row>
    <row r="6">
      <c r="A6" s="2" t="n">
        <v>5</v>
      </c>
      <c r="B6" s="3" t="inlineStr">
        <is>
          <t>Protocolo Luso-Brasileiro de Coprodução Cinematográfica 2026 (ICA/Ancine)</t>
        </is>
      </c>
      <c r="C6" s="4" t="inlineStr">
        <is>
          <t>Cofinanciamento internacional (audiovisual)</t>
        </is>
      </c>
      <c r="D6" s="4" t="inlineStr">
        <is>
          <t>Brasil–Portugal</t>
        </is>
      </c>
      <c r="E6" s="2" t="inlineStr">
        <is>
          <t>30/09/2026</t>
        </is>
      </c>
      <c r="F6" s="5" t="n">
        <v>46295</v>
      </c>
      <c r="G6" s="2">
        <f>IF(ISNUMBER(F6),F6-TODAY(),"Fluxo contínuo")</f>
        <v/>
      </c>
      <c r="H6" s="4" t="inlineStr">
        <is>
          <t>Cofinanciamento de coproduções luso-brasileiras de longas-metragens (ficção, documentário, animação), com até € 175 mil por projeto minoritário. Inscrição pela plataforma HAL do ICA (Portugal).</t>
        </is>
      </c>
      <c r="I6" s="6" t="inlineStr">
        <is>
          <t>https://hal.ica-ip.pt/registo</t>
        </is>
      </c>
      <c r="J6" s="4" t="n"/>
      <c r="K6" s="4" t="inlineStr">
        <is>
          <t>Busca web (BRB Law)</t>
        </is>
      </c>
      <c r="L6" s="2" t="inlineStr">
        <is>
          <t>Sim</t>
        </is>
      </c>
    </row>
    <row r="7">
      <c r="A7" s="7" t="n">
        <v>6</v>
      </c>
      <c r="B7" s="8" t="inlineStr">
        <is>
          <t>Ibermúsicas 2026 (Internacional)</t>
        </is>
      </c>
      <c r="C7" s="9" t="inlineStr">
        <is>
          <t>Programa de cooperação ibero-americana — 15 convocatórias</t>
        </is>
      </c>
      <c r="D7" s="9" t="inlineStr">
        <is>
          <t>Ibero-América</t>
        </is>
      </c>
      <c r="E7" s="7" t="inlineStr">
        <is>
          <t>01/10/2026</t>
        </is>
      </c>
      <c r="F7" s="10" t="n">
        <v>46296</v>
      </c>
      <c r="G7" s="7">
        <f>IF(ISNUMBER(F7),F7-TODAY(),"Fluxo contínuo")</f>
        <v/>
      </c>
      <c r="H7" s="9" t="inlineStr">
        <is>
          <t>Quinze convocatórias para profissionais da música, programadores, artistas, pesquisadores e instituições ibero-americanas, com apoio a circulação internacional, residências artísticas, especialização, projetos virtuais e prêmios de composição. Inscrições de 15 de junho a 1º de outubro de 2026; valores por categoria nos editais em PDF.</t>
        </is>
      </c>
      <c r="I7" s="11" t="inlineStr">
        <is>
          <t>https://www.ibermusicas.org/index.php/convocatorias-pt/</t>
        </is>
      </c>
      <c r="J7" s="9" t="n"/>
      <c r="K7" s="9" t="inlineStr">
        <is>
          <t>Publicação no LinkedIn (22/09/2026)</t>
        </is>
      </c>
      <c r="L7" s="7" t="n"/>
    </row>
    <row r="8">
      <c r="A8" s="7" t="n">
        <v>7</v>
      </c>
      <c r="B8" s="8" t="inlineStr">
        <is>
          <t>Embratur — Seleção Pública de Patrocínios (Edital 13/2025)</t>
        </is>
      </c>
      <c r="C8" s="9" t="inlineStr">
        <is>
          <t>Patrocínio direto (recursos próprios)</t>
        </is>
      </c>
      <c r="D8" s="9" t="inlineStr">
        <is>
          <t>Nacional / internacional</t>
        </is>
      </c>
      <c r="E8" s="7" t="inlineStr">
        <is>
          <t>03/10/2026</t>
        </is>
      </c>
      <c r="F8" s="10" t="n">
        <v>46298</v>
      </c>
      <c r="G8" s="7">
        <f>IF(ISNUMBER(F8),F8-TODAY(),"Fluxo contínuo")</f>
        <v/>
      </c>
      <c r="H8" s="9" t="inlineStr">
        <is>
          <t>Seleção de projetos de promoção turística que fortaleçam a imagem internacional do Brasil (Plano Brasis 2024–2027). Pessoas jurídicas nacionais e internacionais, com ou sem fins lucrativos. Patrocínio limitado a 60% do custo total (exceto projetos abaixo de R$ 200 mil), com contrapartidas de exposição de marca, conteúdo e geração de negócios. Inscrições com no mínimo 60 dias de antecedência do evento.</t>
        </is>
      </c>
      <c r="I8" s="11" t="inlineStr">
        <is>
          <t>https://patrocinio.embratur.com.br/</t>
        </is>
      </c>
      <c r="J8" s="9" t="inlineStr">
        <is>
          <t>Edital em PDF: https://embratur.com.br/wp-content/uploads/2025/12/Edital-de-Chamamento-Publico-13-2025.pdf</t>
        </is>
      </c>
      <c r="K8" s="9" t="inlineStr">
        <is>
          <t>Publicação no LinkedIn (22/09/2026)</t>
        </is>
      </c>
      <c r="L8" s="7" t="n"/>
    </row>
    <row r="9">
      <c r="A9" s="2" t="n">
        <v>8</v>
      </c>
      <c r="B9" s="3" t="inlineStr">
        <is>
          <t>Edital Rede Memória Viva — Iniciativa Viva Pequena África (BNDES)</t>
        </is>
      </c>
      <c r="C9" s="4" t="inlineStr">
        <is>
          <t>Edital público (fomento direto)</t>
        </is>
      </c>
      <c r="D9" s="4" t="inlineStr">
        <is>
          <t>Nacional — territórios de memória afro-brasileira</t>
        </is>
      </c>
      <c r="E9" s="2" t="inlineStr">
        <is>
          <t>05/10/2026 18h</t>
        </is>
      </c>
      <c r="F9" s="5" t="n">
        <v>46300</v>
      </c>
      <c r="G9" s="2">
        <f>IF(ISNUMBER(F9),F9-TODAY(),"Fluxo contínuo")</f>
        <v/>
      </c>
      <c r="H9" s="4" t="inlineStr">
        <is>
          <t>Seleção de iniciativas de valorização e preservação da memória e do patrimônio cultural africano e afro-brasileiro em territórios de todo o país ('novas Pequenas Áfricas'), com R$ 5 milhões apoiados pelo BNDES. Inscrição pela plataforma Prosas (edital e FAQ disponíveis na página).</t>
        </is>
      </c>
      <c r="I9" s="6" t="inlineStr">
        <is>
          <t>https://prosas.com.br/editais/18659-edital-rede-memoria-viva-iniciativa-viva-pequena-africa</t>
        </is>
      </c>
      <c r="J9" s="4" t="inlineStr">
        <is>
          <t>Aderente a projetos de Salvador e do Recôncavo; conferir requisitos de território no regulamento.</t>
        </is>
      </c>
      <c r="K9" s="4" t="inlineStr">
        <is>
          <t>Prosas + Capta</t>
        </is>
      </c>
      <c r="L9" s="2" t="inlineStr">
        <is>
          <t>Sim</t>
        </is>
      </c>
    </row>
    <row r="10">
      <c r="A10" s="7" t="n">
        <v>9</v>
      </c>
      <c r="B10" s="8" t="inlineStr">
        <is>
          <t>Rouanet nas Favelas 2 (MinC + Instituto Cultural Vale)</t>
        </is>
      </c>
      <c r="C10" s="9" t="inlineStr">
        <is>
          <t>Lei Rouanet (Pronac) — edital</t>
        </is>
      </c>
      <c r="D10" s="9" t="inlineStr">
        <is>
          <t>Belém, Belo Horizonte, DF, Recife, Rio de Janeiro, São Luís, São Paulo e Vitória</t>
        </is>
      </c>
      <c r="E10" s="7" t="inlineStr">
        <is>
          <t>13/10/2026</t>
        </is>
      </c>
      <c r="F10" s="10" t="n">
        <v>46308</v>
      </c>
      <c r="G10" s="7">
        <f>IF(ISNUMBER(F10),F10-TODAY(),"Fluxo contínuo")</f>
        <v/>
      </c>
      <c r="H10" s="9" t="inlineStr">
        <is>
          <t>Financia projetos culturais em territórios de favelas e periferias com recursos incentivados via Pronac. Podem participar pessoas jurídicas, com ou sem fins lucrativos, de natureza cultural e com sede na mesma localidade do projeto. Até R$ 200 mil por projeto; investimento total de R$ 10 milhões. Inscrições gratuitas e exclusivamente pelo Salic.</t>
        </is>
      </c>
      <c r="I10" s="11" t="inlineStr">
        <is>
          <t>https://salic.cultura.gov.br</t>
        </is>
      </c>
      <c r="J10" s="9" t="inlineStr">
        <is>
          <t>Página do edital: https://www.gov.br/cultura/pt-br/assuntos/editais/inscricoes-abertas/programa-rouanet-nas-favelas-2/programa-rouanet-nas-favelas-2</t>
        </is>
      </c>
      <c r="K10" s="9" t="inlineStr">
        <is>
          <t>Publicação no LinkedIn (22/09/2026)</t>
        </is>
      </c>
      <c r="L10" s="7" t="n"/>
    </row>
    <row r="11">
      <c r="A11" s="2" t="n">
        <v>10</v>
      </c>
      <c r="B11" s="3" t="inlineStr">
        <is>
          <t>2º Prêmio Pretas Potências — Instituto Feira Preta</t>
        </is>
      </c>
      <c r="C11" s="4" t="inlineStr">
        <is>
          <t>Premiação (fomento direto)</t>
        </is>
      </c>
      <c r="D11" s="4" t="inlineStr">
        <is>
          <t>Nacional</t>
        </is>
      </c>
      <c r="E11" s="2" t="inlineStr">
        <is>
          <t>16/10/2026 18h</t>
        </is>
      </c>
      <c r="F11" s="5" t="n">
        <v>46311</v>
      </c>
      <c r="G11" s="2">
        <f>IF(ISNUMBER(F11),F11-TODAY(),"Fluxo contínuo")</f>
        <v/>
      </c>
      <c r="H11" s="4" t="inlineStr">
        <is>
          <t>Premiação a artistas negros e coletivos protagonizados por pessoas negras nas áreas de música instrumental, artes cênicas, artes visuais, literatura, audiovisual e patrimônio imaterial (150 iniciativas na 1ª edição). Inscrição pela plataforma Prosas.</t>
        </is>
      </c>
      <c r="I11" s="6" t="inlineStr">
        <is>
          <t>https://prosas.com.br/editais/18622</t>
        </is>
      </c>
      <c r="J11" s="4" t="inlineStr">
        <is>
          <t>Valores e regulamento na página do edital no Prosas; site oficial: https://pretaspotencias.com/</t>
        </is>
      </c>
      <c r="K11" s="4" t="inlineStr">
        <is>
          <t>Prosas</t>
        </is>
      </c>
      <c r="L11" s="2" t="inlineStr">
        <is>
          <t>Sim</t>
        </is>
      </c>
    </row>
    <row r="12">
      <c r="A12" s="2" t="n">
        <v>11</v>
      </c>
      <c r="B12" s="3" t="inlineStr">
        <is>
          <t>Maceió — Editais PNAB Ciclo 2 (Lagoa Mundaú, Praia do Sobral, Jaraguá, Pontal da Barra, Praia da Avenida e Sururu de Capote)</t>
        </is>
      </c>
      <c r="C12" s="4" t="inlineStr">
        <is>
          <t>Edital público (PNAB municipal)</t>
        </is>
      </c>
      <c r="D12" s="4" t="inlineStr">
        <is>
          <t>Maceió/AL</t>
        </is>
      </c>
      <c r="E12" s="2" t="inlineStr">
        <is>
          <t>16/10/2026</t>
        </is>
      </c>
      <c r="F12" s="5" t="n">
        <v>46311</v>
      </c>
      <c r="G12" s="2">
        <f>IF(ISNUMBER(F12),F12-TODAY(),"Fluxo contínuo")</f>
        <v/>
      </c>
      <c r="H12" s="4" t="inlineStr">
        <is>
          <t>Seis editais com R$ 4,1 milhões e 517 oportunidades: cinco editais de fomento (323 vagas em 18 segmentos) e o edital Sururu de Capote (194 premiações de trajetórias em 41 categorias). Artistas, produtores e agentes culturais com atuação em Maceió. Inscrição pela plataforma oficial da PNAB Ciclo 2 de Maceió ou presencialmente.</t>
        </is>
      </c>
      <c r="I12" s="6" t="inlineStr">
        <is>
          <t>https://www.tribunadosertao.com.br/cidades/2026/09/21/982971-maceio-abre-seis-editais-culturais-com-r-41-milhoes-e-517-oportunidades</t>
        </is>
      </c>
      <c r="J12" s="4" t="inlineStr">
        <is>
          <t>Link direto da plataforma não localizado; conferir na Secretaria Municipal de Cultura de Maceió.</t>
        </is>
      </c>
      <c r="K12" s="4" t="inlineStr">
        <is>
          <t>Busca web</t>
        </is>
      </c>
      <c r="L12" s="2" t="inlineStr">
        <is>
          <t>Sim</t>
        </is>
      </c>
    </row>
    <row r="13">
      <c r="A13" s="2" t="n">
        <v>12</v>
      </c>
      <c r="B13" s="3" t="inlineStr">
        <is>
          <t>Spcine/SMC-SP — FSA Editais 1 e 3 (produção e distribuição)</t>
        </is>
      </c>
      <c r="C13" s="4" t="inlineStr">
        <is>
          <t>Edital público (audiovisual — FSA)</t>
        </is>
      </c>
      <c r="D13" s="4" t="inlineStr">
        <is>
          <t>Município de São Paulo</t>
        </is>
      </c>
      <c r="E13" s="2" t="inlineStr">
        <is>
          <t>19/10/2026</t>
        </is>
      </c>
      <c r="F13" s="5" t="n">
        <v>46314</v>
      </c>
      <c r="G13" s="2">
        <f>IF(ISNUMBER(F13),F13-TODAY(),"Fluxo contínuo")</f>
        <v/>
      </c>
      <c r="H13" s="4" t="inlineStr">
        <is>
          <t>Seleção de 11 propostas para produção de longas e séries (R$ 47 milhões) e 16 para distribuição (R$ 7 milhões), voltada a produtoras independentes paulistanas. Inscrição pelo portal de editais da Spcine.</t>
        </is>
      </c>
      <c r="I13" s="6" t="inlineStr">
        <is>
          <t>https://spcine.com.br/editais-de-fomento/</t>
        </is>
      </c>
      <c r="J13" s="4" t="n"/>
      <c r="K13" s="4" t="inlineStr">
        <is>
          <t>Busca web (BRB Law)</t>
        </is>
      </c>
      <c r="L13" s="2" t="inlineStr">
        <is>
          <t>Sim</t>
        </is>
      </c>
    </row>
    <row r="14">
      <c r="A14" s="2" t="n">
        <v>13</v>
      </c>
      <c r="B14" s="3" t="inlineStr">
        <is>
          <t>Celesc — Edital 002/2024 Cadastro de Projetos da Lei Federal de Incentivo à Cultura (Rouanet)</t>
        </is>
      </c>
      <c r="C14" s="4" t="inlineStr">
        <is>
          <t>Patrocínio via Lei Rouanet (recursos Celesc)</t>
        </is>
      </c>
      <c r="D14" s="4" t="inlineStr">
        <is>
          <t>Santa Catarina</t>
        </is>
      </c>
      <c r="E14" s="2" t="inlineStr">
        <is>
          <t>30/10/2026 18h</t>
        </is>
      </c>
      <c r="F14" s="5" t="n">
        <v>46325</v>
      </c>
      <c r="G14" s="2">
        <f>IF(ISNUMBER(F14),F14-TODAY(),"Fluxo contínuo")</f>
        <v/>
      </c>
      <c r="H14" s="4" t="inlineStr">
        <is>
          <t>Cadastro contínuo da Celesc para selecionar projetos culturais já aprovados na Lei Rouanet, destinando parte do imposto de renda devido como patrocínio. Inscrição pela Central de Editais da Prosas.</t>
        </is>
      </c>
      <c r="I14" s="6" t="inlineStr">
        <is>
          <t>https://prosas.com.br/editais/15182</t>
        </is>
      </c>
      <c r="J14" s="4" t="inlineStr">
        <is>
          <t>Edital irmão para o PIC-SC (Programa de Incentivo à Cultura estadual): https://prosas.com.br/editais/14886 (mesmo prazo).</t>
        </is>
      </c>
      <c r="K14" s="4" t="inlineStr">
        <is>
          <t>Prosas</t>
        </is>
      </c>
      <c r="L14" s="2" t="inlineStr">
        <is>
          <t>Sim</t>
        </is>
      </c>
    </row>
    <row r="15">
      <c r="A15" s="2" t="n">
        <v>14</v>
      </c>
      <c r="B15" s="3" t="inlineStr">
        <is>
          <t>Santos Brasil — Banco de Projetos Incentivados Municipais 2026</t>
        </is>
      </c>
      <c r="C15" s="4" t="inlineStr">
        <is>
          <t>Patrocínio via leis MUNICIPAIS de incentivo</t>
        </is>
      </c>
      <c r="D15" s="4" t="inlineStr">
        <is>
          <t>Santos e Guarujá (SP); Imbituba (SC)</t>
        </is>
      </c>
      <c r="E15" s="2" t="inlineStr">
        <is>
          <t>30/10/2026 18h</t>
        </is>
      </c>
      <c r="F15" s="5" t="n">
        <v>46325</v>
      </c>
      <c r="G15" s="2">
        <f>IF(ISNUMBER(F15),F15-TODAY(),"Fluxo contínuo")</f>
        <v/>
      </c>
      <c r="H15" s="4" t="inlineStr">
        <is>
          <t>Seleção de iniciativas culturais e esportivas aprovadas em leis municipais de incentivo (Promicult e Promifae em Santos/Guarujá; Procult e Proesporte em Imbituba). Sem limite de propostas ou de valor solicitado; a empresa pode ajustar os aportes. Inscrição pela plataforma Prosas.</t>
        </is>
      </c>
      <c r="I15" s="6" t="inlineStr">
        <is>
          <t>https://prosas.com.br/editais/17235-banco-de-projetos-incentivados-municipais-2026-santos-brasil</t>
        </is>
      </c>
      <c r="J15" s="4" t="n"/>
      <c r="K15" s="4" t="inlineStr">
        <is>
          <t>Prosas</t>
        </is>
      </c>
      <c r="L15" s="2" t="inlineStr">
        <is>
          <t>Sim</t>
        </is>
      </c>
    </row>
    <row r="16">
      <c r="A16" s="2" t="n">
        <v>15</v>
      </c>
      <c r="B16" s="3" t="inlineStr">
        <is>
          <t>Clipe da Quebrada 2026 (APAA)</t>
        </is>
      </c>
      <c r="C16" s="4" t="inlineStr">
        <is>
          <t>Edital público (fomento direto)</t>
        </is>
      </c>
      <c r="D16" s="4" t="inlineStr">
        <is>
          <t>Estado de SP (12 RMSP + 18 interior)</t>
        </is>
      </c>
      <c r="E16" s="2" t="inlineStr">
        <is>
          <t>31/10/2026</t>
        </is>
      </c>
      <c r="F16" s="5" t="n">
        <v>46326</v>
      </c>
      <c r="G16" s="2">
        <f>IF(ISNUMBER(F16),F16-TODAY(),"Fluxo contínuo")</f>
        <v/>
      </c>
      <c r="H16" s="4" t="inlineStr">
        <is>
          <t>Seleção de 30 produtoras para produção de videoclipes de artistas independentes, com R$ 5.250 por projeto. Inscrição pela plataforma de editais da APAA.</t>
        </is>
      </c>
      <c r="I16" s="6" t="inlineStr">
        <is>
          <t>https://www.editaisapaa.org.br/</t>
        </is>
      </c>
      <c r="J16" s="4" t="n"/>
      <c r="K16" s="4" t="inlineStr">
        <is>
          <t>Busca web (BRB Law)</t>
        </is>
      </c>
      <c r="L16" s="2" t="inlineStr">
        <is>
          <t>Sim</t>
        </is>
      </c>
    </row>
    <row r="17">
      <c r="A17" s="7" t="n">
        <v>16</v>
      </c>
      <c r="B17" s="8" t="inlineStr">
        <is>
          <t>Lei Rouanet 2026 — apresentação de propostas (IN MinC nº 29/2026)</t>
        </is>
      </c>
      <c r="C17" s="9" t="inlineStr">
        <is>
          <t>Lei Rouanet (Pronac) — fluxo anual</t>
        </is>
      </c>
      <c r="D17" s="9" t="inlineStr">
        <is>
          <t>Nacional</t>
        </is>
      </c>
      <c r="E17" s="7" t="inlineStr">
        <is>
          <t>31/10/2026</t>
        </is>
      </c>
      <c r="F17" s="10" t="n">
        <v>46326</v>
      </c>
      <c r="G17" s="7">
        <f>IF(ISNUMBER(F17),F17-TODAY(),"Fluxo contínuo")</f>
        <v/>
      </c>
      <c r="H17" s="9" t="inlineStr">
        <is>
          <t>Janela anual de apresentação de propostas ao mecanismo de incentivo da Lei Rouanet: de 1º de fevereiro a 31 de outubro de cada ano (planos plurianuais até 31 de agosto do ano anterior). Limites por proponente: R$ 500 mil (pessoa física) e R$ 15 milhões (pessoa jurídica). Exige medidas de acessibilidade e democratização do acesso; veda difusão de imagem de agentes políticos e proselitismo religioso.</t>
        </is>
      </c>
      <c r="I17" s="11" t="inlineStr">
        <is>
          <t>https://salic.cultura.gov.br</t>
        </is>
      </c>
      <c r="J17" s="9" t="inlineStr">
        <is>
          <t>Instrução Normativa: https://www.gov.br/cultura/pt-br/acesso-a-informacao/legislacao-e-normativas/instrucao-normativa-minc-no-29-de-29-de-janeiro-de-2026</t>
        </is>
      </c>
      <c r="K17" s="9" t="inlineStr">
        <is>
          <t>Publicação no LinkedIn (22/09/2026)</t>
        </is>
      </c>
      <c r="L17" s="7" t="n"/>
    </row>
    <row r="18">
      <c r="A18" s="7" t="n">
        <v>17</v>
      </c>
      <c r="B18" s="8" t="inlineStr">
        <is>
          <t>Shell Cultural — Programa de Patrocínios Incentivados</t>
        </is>
      </c>
      <c r="C18" s="9" t="inlineStr">
        <is>
          <t>Patrocínio via lei de incentivo (Rouanet / Lei do Esporte)</t>
        </is>
      </c>
      <c r="D18" s="9" t="inlineStr">
        <is>
          <t>Prioridade: SP, RJ, ES e DF</t>
        </is>
      </c>
      <c r="E18" s="7" t="inlineStr">
        <is>
          <t>31/10/2026</t>
        </is>
      </c>
      <c r="F18" s="10" t="n">
        <v>46326</v>
      </c>
      <c r="G18" s="7">
        <f>IF(ISNUMBER(F18),F18-TODAY(),"Fluxo contínuo")</f>
        <v/>
      </c>
      <c r="H18" s="9" t="inlineStr">
        <is>
          <t>Programa de patrocínios da Shell para projetos de cultura e esporte alinhados a transformação social, diversidade e sustentabilidade. Aceita apenas projetos aprovados na Lei Rouanet ou na Lei de Incentivo ao Esporte. Propostas recebidas de 1º de março a 31 de outubro, via plataforma Mais Baluarte.</t>
        </is>
      </c>
      <c r="I18" s="11" t="inlineStr">
        <is>
          <t>https://maisbaluarte.com.br/patrocinioshell</t>
        </is>
      </c>
      <c r="J18" s="9" t="n"/>
      <c r="K18" s="9" t="inlineStr">
        <is>
          <t>Publicação no LinkedIn (22/09/2026)</t>
        </is>
      </c>
      <c r="L18" s="7" t="n"/>
    </row>
    <row r="19">
      <c r="A19" s="7" t="n">
        <v>18</v>
      </c>
      <c r="B19" s="8" t="inlineStr">
        <is>
          <t>Vale — Seleção Direta de Patrocínios Culturais (Instituto Cultural Vale)</t>
        </is>
      </c>
      <c r="C19" s="9" t="inlineStr">
        <is>
          <t>Patrocínio via lei de incentivo ou recursos próprios</t>
        </is>
      </c>
      <c r="D19" s="9" t="inlineStr">
        <is>
          <t>Nacional (projetos realizados no Brasil)</t>
        </is>
      </c>
      <c r="E19" s="7" t="inlineStr">
        <is>
          <t>31/10/2026</t>
        </is>
      </c>
      <c r="F19" s="10" t="n">
        <v>46326</v>
      </c>
      <c r="G19" s="7">
        <f>IF(ISNUMBER(F19),F19-TODAY(),"Fluxo contínuo")</f>
        <v/>
      </c>
      <c r="H19" s="9" t="inlineStr">
        <is>
          <t>Apoio a projetos que valorizem a cultura brasileira em sua diversidade, com avaliação técnica e de compliance. Somente pessoas jurídicas, via plataforma digital própria. Modalidades: Lei Rouanet, Lei do Audiovisual (janela de junho a outubro) ou recursos próprios (janeiro a dezembro). Exige 45 dias de antecedência do início do projeto. Chamada 2026: até R$ 1,5 milhão por projeto e R$ 30 milhões no total.</t>
        </is>
      </c>
      <c r="I19" s="11" t="inlineStr">
        <is>
          <t>https://institutoculturalvale.org/solicitacao-de-patrocinios/</t>
        </is>
      </c>
      <c r="J19" s="9" t="n"/>
      <c r="K19" s="9" t="inlineStr">
        <is>
          <t>Publicação no LinkedIn (22/09/2026)</t>
        </is>
      </c>
      <c r="L19" s="7" t="n"/>
    </row>
    <row r="20">
      <c r="A20" s="2" t="n">
        <v>19</v>
      </c>
      <c r="B20" s="3" t="inlineStr">
        <is>
          <t>FSA — Produção de Longas e Coproduções Internacionais (SP)</t>
        </is>
      </c>
      <c r="C20" s="4" t="inlineStr">
        <is>
          <t>Edital público (audiovisual — FSA)</t>
        </is>
      </c>
      <c r="D20" s="4" t="inlineStr">
        <is>
          <t>Estado de São Paulo</t>
        </is>
      </c>
      <c r="E20" s="2" t="inlineStr">
        <is>
          <t>03/11/2026</t>
        </is>
      </c>
      <c r="F20" s="5" t="n">
        <v>46329</v>
      </c>
      <c r="G20" s="2">
        <f>IF(ISNUMBER(F20),F20-TODAY(),"Fluxo contínuo")</f>
        <v/>
      </c>
      <c r="H20" s="4" t="inlineStr">
        <is>
          <t>R$ 40 milhões em investimentos retornáveis para produção de longas-metragens e coproduções internacionais por produtoras independentes sediadas em São Paulo.</t>
        </is>
      </c>
      <c r="I20" s="6" t="inlineStr">
        <is>
          <t>https://www.cultura.sp.gov.br/sec_cultura</t>
        </is>
      </c>
      <c r="J20" s="4" t="n"/>
      <c r="K20" s="4" t="inlineStr">
        <is>
          <t>Busca web (BRB Law)</t>
        </is>
      </c>
      <c r="L20" s="2" t="inlineStr">
        <is>
          <t>Sim</t>
        </is>
      </c>
    </row>
    <row r="21" ht="15.75" customHeight="1" s="13">
      <c r="A21" s="2" t="n">
        <v>20</v>
      </c>
      <c r="B21" s="3" t="inlineStr">
        <is>
          <t>FCMS — Editais 025 e 026/2026 Termo de Execução Cultural Audiovisual (MinC/FSA/BRDE Arranjos Regionais — MS)</t>
        </is>
      </c>
      <c r="C21" s="4" t="inlineStr">
        <is>
          <t>Edital público (audiovisual — arranjos regionais FSA)</t>
        </is>
      </c>
      <c r="D21" s="4" t="inlineStr">
        <is>
          <t>Mato Grosso do Sul</t>
        </is>
      </c>
      <c r="E21" s="2" t="inlineStr">
        <is>
          <t>04/11/2026 18h</t>
        </is>
      </c>
      <c r="F21" s="5" t="n">
        <v>46330</v>
      </c>
      <c r="G21" s="2">
        <f>IF(ISNUMBER(F21),F21-TODAY(),"Fluxo contínuo")</f>
        <v/>
      </c>
      <c r="H21" s="4" t="inlineStr">
        <is>
          <t>Seleção de projetos para produção audiovisual (Edital 26/2026) e para memória e preservação audiovisual do MIS-MS (Edital 025/2026), no âmbito dos arranjos regionais do FSA. Inscrição pela plataforma Prosas.</t>
        </is>
      </c>
      <c r="I21" s="6" t="inlineStr">
        <is>
          <t>https://prosas.com.br/editais/19047</t>
        </is>
      </c>
      <c r="J21" s="4" t="inlineStr">
        <is>
          <t>Edital 025/2026: https://prosas.com.br/editais/19048</t>
        </is>
      </c>
      <c r="K21" s="4" t="inlineStr">
        <is>
          <t>Prosas</t>
        </is>
      </c>
      <c r="L21" s="2" t="inlineStr">
        <is>
          <t>Sim</t>
        </is>
      </c>
    </row>
    <row r="22" ht="15.75" customHeight="1" s="13">
      <c r="A22" s="7" t="n">
        <v>21</v>
      </c>
      <c r="B22" s="8" t="inlineStr">
        <is>
          <t>Intercâmbio Cultural — Circulação e Participação Audiovisual no Exterior (Edital MinC nº 1/2026)</t>
        </is>
      </c>
      <c r="C22" s="9" t="inlineStr">
        <is>
          <t>Edital público (fomento direto)</t>
        </is>
      </c>
      <c r="D22" s="9" t="inlineStr">
        <is>
          <t>Nacional</t>
        </is>
      </c>
      <c r="E22" s="7" t="inlineStr">
        <is>
          <t>06/11/2026 (ou até esgotamento dos recursos)</t>
        </is>
      </c>
      <c r="F22" s="10" t="n">
        <v>46332</v>
      </c>
      <c r="G22" s="7">
        <f>IF(ISNUMBER(F22),F22-TODAY(),"Fluxo contínuo")</f>
        <v/>
      </c>
      <c r="H22" s="9" t="inlineStr">
        <is>
          <t>Financia a participação de profissionais e estudantes do audiovisual brasileiro em eventos internacionais (festivais, mercados, laboratórios). Pessoas físicas maiores de 18 anos, brasileiras, com ao menos 1 ano de atuação no setor. Auxílios de R$ 8 mil a R$ 21 mil conforme o continente; orçamento total de R$ 1 milhão. Inscrições pelo Mapa da Cultura até 18h.</t>
        </is>
      </c>
      <c r="I22" s="11" t="inlineStr">
        <is>
          <t>https://mapa.cultura.gov.br/oportunidade/8012/#info</t>
        </is>
      </c>
      <c r="J22" s="9" t="n"/>
      <c r="K22" s="9" t="inlineStr">
        <is>
          <t>Publicação no LinkedIn (22/09/2026)</t>
        </is>
      </c>
      <c r="L22" s="7" t="n"/>
    </row>
    <row r="23" ht="15.75" customHeight="1" s="13">
      <c r="A23" s="2" t="n">
        <v>22</v>
      </c>
      <c r="B23" s="3" t="inlineStr">
        <is>
          <t>Riofilme — Cash Rebate, Riofilme Invest e Bolsas Culturais</t>
        </is>
      </c>
      <c r="C23" s="4" t="inlineStr">
        <is>
          <t>Fomento audiovisual (reembolso / investimento / bolsas)</t>
        </is>
      </c>
      <c r="D23" s="4" t="inlineStr">
        <is>
          <t>Rio de Janeiro (produtoras cariocas)</t>
        </is>
      </c>
      <c r="E23" s="2" t="inlineStr">
        <is>
          <t>15/11/2026</t>
        </is>
      </c>
      <c r="F23" s="5" t="n">
        <v>46341</v>
      </c>
      <c r="G23" s="2">
        <f>IF(ISNUMBER(F23),F23-TODAY(),"Fluxo contínuo")</f>
        <v/>
      </c>
      <c r="H23" s="4" t="inlineStr">
        <is>
          <t>Três linhas: Cash Rebate (R$ 15 milhões; até R$ 5 milhões por obra com alcance internacional realizada no Rio), Riofilme Invest (R$ 17,5 milhões em investimento reembolsável; até R$ 3 milhões por longa) e Bolsas Culturais (R$ 5 mil a R$ 20 mil para participação em mercados e festivais).</t>
        </is>
      </c>
      <c r="I23" s="6" t="inlineStr">
        <is>
          <t>http://www.riofilme.com.br/</t>
        </is>
      </c>
      <c r="J23" s="4" t="n"/>
      <c r="K23" s="4" t="inlineStr">
        <is>
          <t>Busca web (BRB Law)</t>
        </is>
      </c>
      <c r="L23" s="2" t="inlineStr">
        <is>
          <t>Sim</t>
        </is>
      </c>
    </row>
    <row r="24" ht="15.75" customHeight="1" s="13">
      <c r="A24" s="2" t="n">
        <v>23</v>
      </c>
      <c r="B24" s="3" t="inlineStr">
        <is>
          <t>CBMM — Projetos de Responsabilidade Social Corporativa 2026</t>
        </is>
      </c>
      <c r="C24" s="4" t="inlineStr">
        <is>
          <t>Patrocínio corporativo (recursos próprios e incentivados)</t>
        </is>
      </c>
      <c r="D24" s="4" t="inlineStr">
        <is>
          <t>Nacional, com foco em Araxá/MG e regiões de atuação</t>
        </is>
      </c>
      <c r="E24" s="2" t="inlineStr">
        <is>
          <t>30/11/2026 18h</t>
        </is>
      </c>
      <c r="F24" s="5" t="n">
        <v>46356</v>
      </c>
      <c r="G24" s="2">
        <f>IF(ISNUMBER(F24),F24-TODAY(),"Fluxo contínuo")</f>
        <v/>
      </c>
      <c r="H24" s="4" t="inlineStr">
        <is>
          <t>Chamada da CBMM para projetos de cultura e artes, educação, saúde, esporte, formação para o trabalho, desenvolvimento comunitário e assistência social. Inscrição pela plataforma Prosas.</t>
        </is>
      </c>
      <c r="I24" s="6" t="inlineStr">
        <is>
          <t>https://prosas.com.br/editais/17327</t>
        </is>
      </c>
      <c r="J24" s="4" t="n"/>
      <c r="K24" s="4" t="inlineStr">
        <is>
          <t>Prosas</t>
        </is>
      </c>
      <c r="L24" s="2" t="inlineStr">
        <is>
          <t>Sim</t>
        </is>
      </c>
    </row>
    <row r="25" ht="15.75" customHeight="1" s="13">
      <c r="A25" s="2" t="n">
        <v>24</v>
      </c>
      <c r="B25" s="3" t="inlineStr">
        <is>
          <t>Fazcultura 2026 — Programa Estadual de Incentivo à Cultura (Secult-BA)</t>
        </is>
      </c>
      <c r="C25" s="4" t="inlineStr">
        <is>
          <t>Lei estadual de incentivo (ICMS) — Bahia</t>
        </is>
      </c>
      <c r="D25" s="4" t="inlineStr">
        <is>
          <t>Bahia</t>
        </is>
      </c>
      <c r="E25" s="2" t="inlineStr">
        <is>
          <t>31/12/2026 (11/02 a 31/12/2026)</t>
        </is>
      </c>
      <c r="F25" s="5" t="n">
        <v>46387</v>
      </c>
      <c r="G25" s="2">
        <f>IF(ISNUMBER(F25),F25-TODAY(),"Fluxo contínuo")</f>
        <v/>
      </c>
      <c r="H25" s="4" t="inlineStr">
        <is>
          <t>Programa de renúncia fiscal do ICMS da Bahia com R$ 15 milhões para 2026: empresas patrocinam projetos aprovados pelo Estado, com complemento de recursos próprios. Projetos de música, teatro, dança, audiovisual, literatura e culturas populares. Inscrição eletrônica pelo Clique Fomento (SIIC); atingido o teto, projetos aprovados sem captação aguardam o exercício seguinte.</t>
        </is>
      </c>
      <c r="I25" s="6" t="inlineStr">
        <is>
          <t>https://siic.cultura.ba.gov.br/clique_fomento/inscricoes/index</t>
        </is>
      </c>
      <c r="J25" s="4" t="inlineStr">
        <is>
          <t>Projeto aprovado no Fazcultura habilita candidatura ao Ambev Brasilidades 2026 (leis estaduais).</t>
        </is>
      </c>
      <c r="K25" s="4" t="inlineStr">
        <is>
          <t>SIIC/Secult-BA</t>
        </is>
      </c>
      <c r="L25" s="2" t="inlineStr">
        <is>
          <t>Sim</t>
        </is>
      </c>
    </row>
    <row r="26" ht="15.75" customHeight="1" s="13">
      <c r="A26" s="2" t="n">
        <v>25</v>
      </c>
      <c r="B26" s="3" t="inlineStr">
        <is>
          <t>ICMS Cultural Paraíba — Edital Indução Cinematográfica 2026 (Secult-PB)</t>
        </is>
      </c>
      <c r="C26" s="4" t="inlineStr">
        <is>
          <t>Lei estadual de incentivo (ICMS) — audiovisual</t>
        </is>
      </c>
      <c r="D26" s="4" t="inlineStr">
        <is>
          <t>Paraíba</t>
        </is>
      </c>
      <c r="E26" s="2" t="inlineStr">
        <is>
          <t>31/12/2026 18h (prorrogado)</t>
        </is>
      </c>
      <c r="F26" s="5" t="n">
        <v>46387</v>
      </c>
      <c r="G26" s="2">
        <f>IF(ISNUMBER(F26),F26-TODAY(),"Fluxo contínuo")</f>
        <v/>
      </c>
      <c r="H26" s="4" t="inlineStr">
        <is>
          <t>Chamada do ICMS Cultural da Paraíba voltada à indução de produções cinematográficas no estado. Inscrição pela plataforma Prosas.</t>
        </is>
      </c>
      <c r="I26" s="6" t="inlineStr">
        <is>
          <t>https://prosas.com.br/editais/17421</t>
        </is>
      </c>
      <c r="J26" s="4" t="n"/>
      <c r="K26" s="4" t="inlineStr">
        <is>
          <t>Prosas</t>
        </is>
      </c>
      <c r="L26" s="2" t="inlineStr">
        <is>
          <t>Sim</t>
        </is>
      </c>
    </row>
    <row r="27" ht="15.75" customHeight="1" s="13">
      <c r="A27" s="7" t="n">
        <v>26</v>
      </c>
      <c r="B27" s="8" t="inlineStr">
        <is>
          <t>Programa Funarte Aberta 2026 — Ocupação dos Espaços Culturais da Funarte</t>
        </is>
      </c>
      <c r="C27" s="9" t="inlineStr">
        <is>
          <t>Cessão de espaço (pauta gratuita)</t>
        </is>
      </c>
      <c r="D27" s="9" t="inlineStr">
        <is>
          <t>RJ, SP e MG</t>
        </is>
      </c>
      <c r="E27" s="7" t="inlineStr">
        <is>
          <t>30/04/2027 (ou conforme disponibilidade de pauta)</t>
        </is>
      </c>
      <c r="F27" s="10" t="n">
        <v>46507</v>
      </c>
      <c r="G27" s="7">
        <f>IF(ISNUMBER(F27),F27-TODAY(),"Fluxo contínuo")</f>
        <v/>
      </c>
      <c r="H27" s="9" t="inlineStr">
        <is>
          <t>Cessão gratuita de teatros, centros técnicos, complexos culturais e livraria da Funarte para atividades de artes visuais, artes integradas, circo, dança, música e teatro. Podem se inscrever pessoas físicas maiores de 18 anos, MEI, empresários individuais e pessoas jurídicas do campo artístico-cultural. Inscrição gratuita por formulário online, um edital por espaço (Centro de Teatro, CTA-RJ, Complexo MG, Complexo SP, Livraria Mário de Andrade).</t>
        </is>
      </c>
      <c r="I27" s="11" t="inlineStr">
        <is>
          <t>https://www.gov.br/funarte/pt-br/editais-1/2026/programa-funarte-aberta</t>
        </is>
      </c>
      <c r="J27" s="9" t="inlineStr">
        <is>
          <t>Prosas: https://prosas.com.br/editais/17663 (Centro de Teatro), /17664 (CTA-RJ), /17665 (MG), /17666 (SP), /17667 (Livraria)</t>
        </is>
      </c>
      <c r="K27" s="9" t="inlineStr">
        <is>
          <t>LinkedIn + Prosas</t>
        </is>
      </c>
      <c r="L27" s="7" t="n"/>
    </row>
    <row r="28" ht="15.75" customHeight="1" s="13">
      <c r="A28" s="2" t="n">
        <v>27</v>
      </c>
      <c r="B28" s="3" t="inlineStr">
        <is>
          <t>BIP Cultura — Banco de Incentivados da Prosas</t>
        </is>
      </c>
      <c r="C28" s="4" t="inlineStr">
        <is>
          <t>Vitrine de projetos incentivados (fluxo contínuo)</t>
        </is>
      </c>
      <c r="D28" s="4" t="inlineStr">
        <is>
          <t>Nacional</t>
        </is>
      </c>
      <c r="E28" s="2" t="inlineStr">
        <is>
          <t>Fluxo contínuo</t>
        </is>
      </c>
      <c r="F28" s="2" t="n"/>
      <c r="G28" s="2">
        <f>IF(ISNUMBER(F28),F28-TODAY(),"Fluxo contínuo")</f>
        <v/>
      </c>
      <c r="H28" s="4" t="inlineStr">
        <is>
          <t>Cadastro gratuito de projetos já aprovados na Lei Rouanet (e, em bancos irmãos, Lei do Esporte, FIA e Fundo do Idoso) para visibilidade junto a patrocinadores que usam a Prosas. Inscrição pela plataforma Prosas.</t>
        </is>
      </c>
      <c r="I28" s="6" t="inlineStr">
        <is>
          <t>https://bip.prosas.com.br</t>
        </is>
      </c>
      <c r="J28" s="4" t="n"/>
      <c r="K28" s="4" t="inlineStr">
        <is>
          <t>Prosas + Capta</t>
        </is>
      </c>
      <c r="L28" s="2" t="inlineStr">
        <is>
          <t>Sim</t>
        </is>
      </c>
    </row>
    <row r="29" ht="15.75" customHeight="1" s="13">
      <c r="A29" s="7" t="n">
        <v>28</v>
      </c>
      <c r="B29" s="8" t="inlineStr">
        <is>
          <t>Banco do Brasil — Banco de Oportunidades de Patrocínio</t>
        </is>
      </c>
      <c r="C29" s="9" t="inlineStr">
        <is>
          <t>Patrocínio corporativo (fluxo contínuo)</t>
        </is>
      </c>
      <c r="D29" s="9" t="inlineStr">
        <is>
          <t>Nacional</t>
        </is>
      </c>
      <c r="E29" s="7" t="inlineStr">
        <is>
          <t>Fluxo contínuo</t>
        </is>
      </c>
      <c r="F29" s="7" t="n"/>
      <c r="G29" s="7">
        <f>IF(ISNUMBER(F29),F29-TODAY(),"Fluxo contínuo")</f>
        <v/>
      </c>
      <c r="H29" s="9" t="inlineStr">
        <is>
          <t>Seleção de projetos que reforcem o valor da marca BB e permitam apresentar produtos e serviços a públicos de interesse. Cadastro da proposta pelo site de patrocínios; a seção de contrapartidas ainda consta como 'em breve'.</t>
        </is>
      </c>
      <c r="I29" s="11" t="inlineStr">
        <is>
          <t>https://www.bb.com.br/site/patrocinios/</t>
        </is>
      </c>
      <c r="J29" s="9" t="n"/>
      <c r="K29" s="9" t="inlineStr">
        <is>
          <t>Publicação no LinkedIn (22/09/2026)</t>
        </is>
      </c>
      <c r="L29" s="7" t="n"/>
    </row>
    <row r="30" ht="15.75" customHeight="1" s="13">
      <c r="A30" s="7" t="n">
        <v>29</v>
      </c>
      <c r="B30" s="8" t="inlineStr">
        <is>
          <t>CAIXA — Patrocínios</t>
        </is>
      </c>
      <c r="C30" s="9" t="inlineStr">
        <is>
          <t>Patrocínio corporativo (fluxo contínuo)</t>
        </is>
      </c>
      <c r="D30" s="9" t="inlineStr">
        <is>
          <t>Nacional</t>
        </is>
      </c>
      <c r="E30" s="7" t="inlineStr">
        <is>
          <t>Fluxo contínuo</t>
        </is>
      </c>
      <c r="F30" s="7" t="n"/>
      <c r="G30" s="7">
        <f>IF(ISNUMBER(F30),F30-TODAY(),"Fluxo contínuo")</f>
        <v/>
      </c>
      <c r="H30" s="9" t="inlineStr">
        <is>
          <t>Portal de patrocínios da CAIXA para recebimento de propostas culturais, esportivas e institucionais alinhadas à estratégia da marca, incluindo projetos incentivados. Cadastro da proposta pelo portal de patrocínios do banco.</t>
        </is>
      </c>
      <c r="I30" s="11" t="inlineStr">
        <is>
          <t>https://www.caixa.gov.br/patrocinios/Paginas/default.aspx</t>
        </is>
      </c>
      <c r="J30" s="9" t="inlineStr">
        <is>
          <t>Página não pôde ser lida automaticamente; conferir critérios e leis aceitas diretamente no portal.</t>
        </is>
      </c>
      <c r="K30" s="9" t="inlineStr">
        <is>
          <t>Publicação no LinkedIn (22/09/2026)</t>
        </is>
      </c>
      <c r="L30" s="7" t="n"/>
    </row>
    <row r="31" ht="15.75" customHeight="1" s="13">
      <c r="A31" s="2" t="n">
        <v>30</v>
      </c>
      <c r="B31" s="3" t="inlineStr">
        <is>
          <t>Catalisar 2026 — FCCSA</t>
        </is>
      </c>
      <c r="C31" s="4" t="inlineStr">
        <is>
          <t>Banco de projetos (fluxo contínuo)</t>
        </is>
      </c>
      <c r="D31" s="4" t="inlineStr">
        <is>
          <t>Nacional</t>
        </is>
      </c>
      <c r="E31" s="2" t="inlineStr">
        <is>
          <t>Fluxo contínuo</t>
        </is>
      </c>
      <c r="F31" s="2" t="n"/>
      <c r="G31" s="2">
        <f>IF(ISNUMBER(F31),F31-TODAY(),"Fluxo contínuo")</f>
        <v/>
      </c>
      <c r="H31" s="4" t="inlineStr">
        <is>
          <t>Chamada permanente da FCCSA para projetos de cultura e artes, educação, esporte, assistência social e desenvolvimento comunitário voltados a populações em vulnerabilidade. Inscrição pela plataforma Prosas.</t>
        </is>
      </c>
      <c r="I31" s="6" t="inlineStr">
        <is>
          <t>https://prosas.com.br/editais/17727</t>
        </is>
      </c>
      <c r="J31" s="4" t="n"/>
      <c r="K31" s="4" t="inlineStr">
        <is>
          <t>Prosas</t>
        </is>
      </c>
      <c r="L31" s="2" t="inlineStr">
        <is>
          <t>Sim</t>
        </is>
      </c>
    </row>
    <row r="32" ht="15.75" customHeight="1" s="13">
      <c r="A32" s="2" t="n">
        <v>31</v>
      </c>
      <c r="B32" s="3" t="inlineStr">
        <is>
          <t>Creative SP 2026 — Missões Internacionais (Secretaria da Cultura de SP / InvestSP)</t>
        </is>
      </c>
      <c r="C32" s="4" t="inlineStr">
        <is>
          <t>Apoio a internacionalização (reembolso)</t>
        </is>
      </c>
      <c r="D32" s="4" t="inlineStr">
        <is>
          <t>Empresas criativas do Estado de SP</t>
        </is>
      </c>
      <c r="E32" s="2" t="inlineStr">
        <is>
          <t>Datas por missão ao longo de 2026</t>
        </is>
      </c>
      <c r="F32" s="2" t="n"/>
      <c r="G32" s="2">
        <f>IF(ISNUMBER(F32),F32-TODAY(),"Fluxo contínuo")</f>
        <v/>
      </c>
      <c r="H32" s="4" t="inlineStr">
        <is>
          <t>Dez missões internacionais em segmentos da economia criativa, com reembolso de 50% das despesas elegíveis até US$ 3 mil por participante e até 15 empresas por missão. Inscrição por formulário online.</t>
        </is>
      </c>
      <c r="I32" s="6" t="inlineStr">
        <is>
          <t>https://forms.office.com/Pages/ResponsePage.aspx?id=T-Syi1aESE6Tx6nG-VAlIDey3VzT_CFGnv07uWcyX9ZUN1dEQldLT1YyWlM3OVlJWVZZODlDUkNBMC4u</t>
        </is>
      </c>
      <c r="J32" s="4" t="n"/>
      <c r="K32" s="4" t="inlineStr">
        <is>
          <t>Busca web (BRB Law)</t>
        </is>
      </c>
      <c r="L32" s="2" t="inlineStr">
        <is>
          <t>Sim</t>
        </is>
      </c>
    </row>
    <row r="33" ht="15.75" customHeight="1" s="13">
      <c r="A33" s="2" t="n">
        <v>32</v>
      </c>
      <c r="B33" s="3" t="inlineStr">
        <is>
          <t>Edital Biblioteca Comunitária é Cultura Viva (MinC/SNBP)</t>
        </is>
      </c>
      <c r="C33" s="4" t="inlineStr">
        <is>
          <t>Certificação (Ponto de Cultura + Biblioteca Comunitária)</t>
        </is>
      </c>
      <c r="D33" s="4" t="inlineStr">
        <is>
          <t>Nacional</t>
        </is>
      </c>
      <c r="E33" s="2" t="inlineStr">
        <is>
          <t>Fluxo contínuo</t>
        </is>
      </c>
      <c r="F33" s="2" t="n"/>
      <c r="G33" s="2">
        <f>IF(ISNUMBER(F33),F33-TODAY(),"Fluxo contínuo")</f>
        <v/>
      </c>
      <c r="H33" s="4" t="inlineStr">
        <is>
          <t>Dupla certificação de bibliotecas comunitárias como Biblioteca Comunitária (SNBP) e Ponto de Cultura, dando acesso a formações e pontuação extra em seleções públicas. Organizações da sociedade civil que mantenham bibliotecas há pelo menos dois anos. Inscrição gratuita pela plataforma BiblioBR.</t>
        </is>
      </c>
      <c r="I33" s="6" t="inlineStr">
        <is>
          <t>https://www.gov.br/cultura/pt-br/assuntos/editais/inscricoes-abertas/edital-biblioteca-comunitaria-e-cultura-viva1/edital-biblioteca-comunitaria-e-cultura-viva</t>
        </is>
      </c>
      <c r="J33" s="4" t="n"/>
      <c r="K33" s="4" t="inlineStr">
        <is>
          <t>MinC</t>
        </is>
      </c>
      <c r="L33" s="2" t="inlineStr">
        <is>
          <t>Sim</t>
        </is>
      </c>
    </row>
    <row r="34" ht="15.75" customHeight="1" s="13">
      <c r="A34" s="7" t="n">
        <v>33</v>
      </c>
      <c r="B34" s="8" t="inlineStr">
        <is>
          <t>Google — Projetos Incentivados (via Incentiv.me)</t>
        </is>
      </c>
      <c r="C34" s="9" t="inlineStr">
        <is>
          <t>Patrocínio via lei de incentivo</t>
        </is>
      </c>
      <c r="D34" s="9" t="inlineStr">
        <is>
          <t>Nacional</t>
        </is>
      </c>
      <c r="E34" s="7" t="inlineStr">
        <is>
          <t>Fluxo contínuo</t>
        </is>
      </c>
      <c r="F34" s="7" t="n"/>
      <c r="G34" s="7">
        <f>IF(ISNUMBER(F34),F34-TODAY(),"Fluxo contínuo")</f>
        <v/>
      </c>
      <c r="H34" s="9" t="inlineStr">
        <is>
          <t>Conecta projetos já aprovados em leis de incentivo fiscal (Lei Rouanet, Lei do Audiovisual, Pronon, Pronas, entre outras) ao investimento do Google, com seleção baseada em viabilidade, sinergia e documentação. Inscrição por formulário na plataforma Incentiv.me com dados do proponente, CNPJ, lei escolhida e comprovante de aprovação em PDF.</t>
        </is>
      </c>
      <c r="I34" s="11" t="inlineStr">
        <is>
          <t>https://google.incentiv.me/</t>
        </is>
      </c>
      <c r="J34" s="9" t="n"/>
      <c r="K34" s="9" t="inlineStr">
        <is>
          <t>Publicação no LinkedIn (22/09/2026)</t>
        </is>
      </c>
      <c r="L34" s="7" t="n"/>
    </row>
    <row r="35" ht="15.75" customHeight="1" s="13">
      <c r="A35" s="7" t="n">
        <v>34</v>
      </c>
      <c r="B35" s="8" t="inlineStr">
        <is>
          <t>Havan — Patrocínios</t>
        </is>
      </c>
      <c r="C35" s="9" t="inlineStr">
        <is>
          <t>Patrocínio via leis de incentivo federais e estaduais</t>
        </is>
      </c>
      <c r="D35" s="9" t="inlineStr">
        <is>
          <t>Nacional (foco em estados com lojas)</t>
        </is>
      </c>
      <c r="E35" s="7" t="inlineStr">
        <is>
          <t>Fluxo contínuo</t>
        </is>
      </c>
      <c r="F35" s="7" t="n"/>
      <c r="G35" s="7">
        <f>IF(ISNUMBER(F35),F35-TODAY(),"Fluxo contínuo")</f>
        <v/>
      </c>
      <c r="H35" s="9" t="inlineStr">
        <is>
          <t>Financia projetos de empreendedorismo, cultura, esporte e saúde que capacitem e formem pessoas para a vida e o mercado de trabalho. Aceita leis federais (Cultura, Esporte, FIA, Idoso, Pronon, Pronas) e estaduais (Profice, Proesporte, ProAC, PIE, PIC). Inscrição por formulário no site; retorno em 30 a 40 dias.</t>
        </is>
      </c>
      <c r="I35" s="11" t="inlineStr">
        <is>
          <t>https://www.havan.com.br/patrocinios</t>
        </is>
      </c>
      <c r="J35" s="9" t="n"/>
      <c r="K35" s="9" t="inlineStr">
        <is>
          <t>Publicação no LinkedIn (22/09/2026)</t>
        </is>
      </c>
      <c r="L35" s="7" t="n"/>
    </row>
    <row r="36" ht="15.75" customHeight="1" s="13">
      <c r="A36" s="2" t="n">
        <v>35</v>
      </c>
      <c r="B36" s="3" t="inlineStr">
        <is>
          <t>Instituto EDP — Banco de Projetos 2026 (ICMS SP, ES e GO)</t>
        </is>
      </c>
      <c r="C36" s="4" t="inlineStr">
        <is>
          <t>Patrocínio via leis ESTADUAIS de incentivo (ICMS)</t>
        </is>
      </c>
      <c r="D36" s="4" t="inlineStr">
        <is>
          <t>SP, ES e GO</t>
        </is>
      </c>
      <c r="E36" s="2" t="inlineStr">
        <is>
          <t>Fluxo contínuo</t>
        </is>
      </c>
      <c r="F36" s="2" t="n"/>
      <c r="G36" s="2">
        <f>IF(ISNUMBER(F36),F36-TODAY(),"Fluxo contínuo")</f>
        <v/>
      </c>
      <c r="H36" s="4" t="inlineStr">
        <is>
          <t>Banco de projetos do Instituto EDP para iniciativas de cultura, esporte, educação, meio ambiente e desenvolvimento comunitário aprovadas em leis estaduais de ICMS (ProAC-SP, Funcultura-ES e Goyazes-GO). Inscrição pela plataforma Prosas.</t>
        </is>
      </c>
      <c r="I36" s="6" t="inlineStr">
        <is>
          <t>https://prosas.com.br/patrocinadores/92</t>
        </is>
      </c>
      <c r="J36" s="4" t="inlineStr">
        <is>
          <t>A chamada 'SIM para Cuidar do Futuro 2026' (leis federais, 13 estados, R$ 12 milhões) encerrou em 31/08/2026: https://prosas.com.br/editais/15802</t>
        </is>
      </c>
      <c r="K36" s="4" t="inlineStr">
        <is>
          <t>Prosas</t>
        </is>
      </c>
      <c r="L36" s="2" t="inlineStr">
        <is>
          <t>Sim</t>
        </is>
      </c>
    </row>
    <row r="37" ht="15.75" customHeight="1" s="13">
      <c r="A37" s="7" t="n">
        <v>36</v>
      </c>
      <c r="B37" s="8" t="inlineStr">
        <is>
          <t>Instituto John Deere — Banco de Projetos 2026</t>
        </is>
      </c>
      <c r="C37" s="9" t="inlineStr">
        <is>
          <t>Patrocínio via leis de incentivo e fundos</t>
        </is>
      </c>
      <c r="D37" s="9" t="inlineStr">
        <is>
          <t>GO, SP e RS (municípios de atuação da empresa)</t>
        </is>
      </c>
      <c r="E37" s="7" t="inlineStr">
        <is>
          <t>Fluxo contínuo</t>
        </is>
      </c>
      <c r="F37" s="7" t="n"/>
      <c r="G37" s="7">
        <f>IF(ISNUMBER(F37),F37-TODAY(),"Fluxo contínuo")</f>
        <v/>
      </c>
      <c r="H37" s="9" t="inlineStr">
        <is>
          <t>Banco de projetos para iniciativas de combate à fome, desenvolvimento comunitário e educação nos territórios de atuação do instituto. Aceita Pronon, FIA, Fundo do Idoso, Lei Rouanet, Lei Federal do Esporte e Lei Estadual do Esporte (SP). Inscrição pela plataforma Prosas.</t>
        </is>
      </c>
      <c r="I37" s="11" t="inlineStr">
        <is>
          <t>https://prosas.com.br/editais/15444-instituto-john-deere-banco-de-projetos-2025</t>
        </is>
      </c>
      <c r="J37" s="9" t="n"/>
      <c r="K37" s="9" t="inlineStr">
        <is>
          <t>LinkedIn + Prosas</t>
        </is>
      </c>
      <c r="L37" s="7" t="n"/>
    </row>
    <row r="38" ht="15.75" customHeight="1" s="13">
      <c r="A38" s="7" t="n">
        <v>37</v>
      </c>
      <c r="B38" s="8" t="inlineStr">
        <is>
          <t>Instituto Neoenergia — Banco de Projetos</t>
        </is>
      </c>
      <c r="C38" s="9" t="inlineStr">
        <is>
          <t>Banco de projetos institucional</t>
        </is>
      </c>
      <c r="D38" s="9" t="inlineStr">
        <is>
          <t>Nacional (áreas de concessão do grupo)</t>
        </is>
      </c>
      <c r="E38" s="7" t="inlineStr">
        <is>
          <t>Fluxo contínuo</t>
        </is>
      </c>
      <c r="F38" s="7" t="n"/>
      <c r="G38" s="7">
        <f>IF(ISNUMBER(F38),F38-TODAY(),"Fluxo contínuo")</f>
        <v/>
      </c>
      <c r="H38" s="9" t="inlineStr">
        <is>
          <t>Recebe iniciativas de impacto social alinhadas aos pilares Educação, Formação e Pesquisa; Biodiversidade e Meio Ambiente; Arte e Cultura; Ação Social; e Novas Tecnologias, para possível inclusão no banco institucional. As seleções ocorrem por chamadas específicas (ex.: Rouanet no Interior); próxima chamada geral prevista para 2027.</t>
        </is>
      </c>
      <c r="I38" s="11" t="inlineStr">
        <is>
          <t>https://www.neoenergia.com/ca/web/instituto-neoenergia/inscreva-seu-projeto</t>
        </is>
      </c>
      <c r="J38" s="9" t="n"/>
      <c r="K38" s="9" t="inlineStr">
        <is>
          <t>Publicação no LinkedIn (22/09/2026)</t>
        </is>
      </c>
      <c r="L38" s="7" t="n"/>
    </row>
    <row r="39" ht="15.75" customHeight="1" s="13">
      <c r="A39" s="2" t="n">
        <v>38</v>
      </c>
      <c r="B39" s="3" t="inlineStr">
        <is>
          <t>Muncab — Chamada Aberta para Artistas Visuais Negros</t>
        </is>
      </c>
      <c r="C39" s="4" t="inlineStr">
        <is>
          <t>Chamada curatorial (fluxo contínuo)</t>
        </is>
      </c>
      <c r="D39" s="4" t="inlineStr">
        <is>
          <t>Brasil e diáspora</t>
        </is>
      </c>
      <c r="E39" s="2" t="inlineStr">
        <is>
          <t>Fluxo contínuo</t>
        </is>
      </c>
      <c r="F39" s="2" t="n"/>
      <c r="G39" s="2">
        <f>IF(ISNUMBER(F39),F39-TODAY(),"Fluxo contínuo")</f>
        <v/>
      </c>
      <c r="H39" s="4" t="inlineStr">
        <is>
          <t>Chamada permanente do Museu Nacional da Cultura Afro-Brasileira (Salvador) para recebimento de portfólios de artistas visuais negros, sem restrição de experiência ou representação. Inscrição por formulário online.</t>
        </is>
      </c>
      <c r="I39" s="6" t="inlineStr">
        <is>
          <t>https://docs.google.com/forms/d/e/1FAIpQLSfcrwVk_8k7IwabrbmkDxK7-ongpnfLKXywdxI9GYwiZ01H1g/viewform</t>
        </is>
      </c>
      <c r="J39" s="4" t="n"/>
      <c r="K39" s="4" t="inlineStr">
        <is>
          <t>Busca web (BRB Law)</t>
        </is>
      </c>
      <c r="L39" s="2" t="inlineStr">
        <is>
          <t>Sim</t>
        </is>
      </c>
    </row>
    <row r="40" ht="15.75" customHeight="1" s="13">
      <c r="A40" s="7" t="n">
        <v>39</v>
      </c>
      <c r="B40" s="8" t="inlineStr">
        <is>
          <t>Patrocínio Claro</t>
        </is>
      </c>
      <c r="C40" s="9" t="inlineStr">
        <is>
          <t>Patrocínio corporativo (fluxo contínuo)</t>
        </is>
      </c>
      <c r="D40" s="9" t="inlineStr">
        <is>
          <t>Nacional</t>
        </is>
      </c>
      <c r="E40" s="7" t="inlineStr">
        <is>
          <t>Fluxo contínuo</t>
        </is>
      </c>
      <c r="F40" s="7" t="n"/>
      <c r="G40" s="7">
        <f>IF(ISNUMBER(F40),F40-TODAY(),"Fluxo contínuo")</f>
        <v/>
      </c>
      <c r="H40" s="9" t="inlineStr">
        <is>
          <t>A Claro recebe propostas de iniciativas culturais, esportivas e de inovação que gerem valor para clientes e comunidade, avaliadas conforme alinhamento com valores e objetivos da marca. Cadastro da proposta na plataforma de patrocínios da empresa.</t>
        </is>
      </c>
      <c r="I40" s="11" t="inlineStr">
        <is>
          <t>https://www.claro.com.br/institucional/patrocinios</t>
        </is>
      </c>
      <c r="J40" s="9" t="n"/>
      <c r="K40" s="9" t="inlineStr">
        <is>
          <t>Publicação no LinkedIn (22/09/2026)</t>
        </is>
      </c>
      <c r="L40" s="7" t="n"/>
    </row>
    <row r="41" ht="15.75" customHeight="1" s="13">
      <c r="A41" s="7" t="n">
        <v>40</v>
      </c>
      <c r="B41" s="8" t="inlineStr">
        <is>
          <t>Patrocínio Cultural Renner (Lojas Renner S.A.)</t>
        </is>
      </c>
      <c r="C41" s="9" t="inlineStr">
        <is>
          <t>Patrocínio via lei de incentivo</t>
        </is>
      </c>
      <c r="D41" s="9" t="inlineStr">
        <is>
          <t>Rouanet (nacional); ICMS em SP, RJ, PB, PI, PE, PR e RS; FIC Montevidéu (Uruguai)</t>
        </is>
      </c>
      <c r="E41" s="7" t="inlineStr">
        <is>
          <t>Fluxo contínuo</t>
        </is>
      </c>
      <c r="F41" s="7" t="n"/>
      <c r="G41" s="7">
        <f>IF(ISNUMBER(F41),F41-TODAY(),"Fluxo contínuo")</f>
        <v/>
      </c>
      <c r="H41" s="9" t="inlineStr">
        <is>
          <t>Apoia projetos já aprovados em leis de incentivo nas áreas de artes visuais, artes cênicas, instituições culturais e festivais de música. Inscrição por formulário na plataforma Prosas, com projeto aprovado na respectiva lei; devolutiva em até 20 dias.</t>
        </is>
      </c>
      <c r="I41" s="11" t="inlineStr">
        <is>
          <t>https://prosas.com.br/editais/14253-patrocinio-cultural-incentivado-lojas-renner-sa</t>
        </is>
      </c>
      <c r="J41" s="9" t="inlineStr">
        <is>
          <t>Página institucional: https://www.lojasrennersa.com.br/patrocinios-e-projetos/</t>
        </is>
      </c>
      <c r="K41" s="9" t="inlineStr">
        <is>
          <t>LinkedIn + Prosas</t>
        </is>
      </c>
      <c r="L41" s="7" t="n"/>
    </row>
    <row r="42" ht="15.75" customHeight="1" s="13">
      <c r="A42" s="7" t="n">
        <v>41</v>
      </c>
      <c r="B42" s="8" t="inlineStr">
        <is>
          <t>Petrobras — Banco de Projetos / Escolha Direta</t>
        </is>
      </c>
      <c r="C42" s="9" t="inlineStr">
        <is>
          <t>Patrocínio corporativo (fluxo contínuo)</t>
        </is>
      </c>
      <c r="D42" s="9" t="inlineStr">
        <is>
          <t>Nacional</t>
        </is>
      </c>
      <c r="E42" s="7" t="inlineStr">
        <is>
          <t>Fluxo contínuo</t>
        </is>
      </c>
      <c r="F42" s="7" t="n"/>
      <c r="G42" s="7">
        <f>IF(ISNUMBER(F42),F42-TODAY(),"Fluxo contínuo")</f>
        <v/>
      </c>
      <c r="H42" s="9" t="inlineStr">
        <is>
          <t>Recebimento contínuo de propostas nas áreas de Cultura, Esporte e Negócio/Ciência &amp; Tecnologia pela modalidade Escolha Direta; projetos ficam no banco de dados para oportunidades futuras. Envio com no mínimo 150 dias de antecedência, por formulário online na plataforma de gestão de patrocínios.</t>
        </is>
      </c>
      <c r="I42" s="11" t="inlineStr">
        <is>
          <t>https://gestaodepatrocinios.petrobras.com.br/pt</t>
        </is>
      </c>
      <c r="J42" s="9" t="inlineStr">
        <is>
          <t>A Seleção Cultural Petrobras 2026 (R$ 270 milhões, 11 modalidades) encerrou em 31/07/2026 — acompanhar próxima edição em petrobras.com.br/cultural/selecoes-publicas-culturais</t>
        </is>
      </c>
      <c r="K42" s="9" t="inlineStr">
        <is>
          <t>Publicação no LinkedIn (22/09/2026)</t>
        </is>
      </c>
      <c r="L42" s="7" t="n"/>
    </row>
    <row r="43" ht="15.75" customHeight="1" s="13">
      <c r="A43" s="2" t="n">
        <v>42</v>
      </c>
      <c r="B43" s="3" t="inlineStr">
        <is>
          <t>Programa de Mobilidade Cultural — 2ª edição (SEEC-PR)</t>
        </is>
      </c>
      <c r="C43" s="4" t="inlineStr">
        <is>
          <t>Edital público (fomento direto — circulação)</t>
        </is>
      </c>
      <c r="D43" s="4" t="inlineStr">
        <is>
          <t>Paraná</t>
        </is>
      </c>
      <c r="E43" s="2" t="inlineStr">
        <is>
          <t>Janelas trimestrais (conferir cronograma vigente)</t>
        </is>
      </c>
      <c r="F43" s="2" t="n"/>
      <c r="G43" s="2">
        <f>IF(ISNUMBER(F43),F43-TODAY(),"Fluxo contínuo")</f>
        <v/>
      </c>
      <c r="H43" s="4" t="inlineStr">
        <is>
          <t>Apoio a artistas e agentes culturais paranaenses para circulação e participação em eventos, festivais, feiras e residências dentro e fora do estado, com inscrições abertas por trimestre. Inscrição pelo sistema da Secretaria da Cultura do Paraná.</t>
        </is>
      </c>
      <c r="I43" s="6" t="inlineStr">
        <is>
          <t>https://www.cultura.pr.gov.br/Pagina/Mobilidade-Cultural-2a-edicao</t>
        </is>
      </c>
      <c r="J43" s="4" t="inlineStr">
        <is>
          <t>Página da SEEC não pôde ser lida automaticamente; confirmar datas do trimestre em vigor.</t>
        </is>
      </c>
      <c r="K43" s="4" t="inlineStr">
        <is>
          <t>Busca web</t>
        </is>
      </c>
      <c r="L43" s="2" t="inlineStr">
        <is>
          <t>Sim</t>
        </is>
      </c>
    </row>
    <row r="44" ht="15.75" customHeight="1" s="13">
      <c r="A44" s="7" t="n">
        <v>43</v>
      </c>
      <c r="B44" s="8" t="inlineStr">
        <is>
          <t>Santander — Projetos e Patrocínios (Cultura)</t>
        </is>
      </c>
      <c r="C44" s="9" t="inlineStr">
        <is>
          <t>Patrocínio corporativo (fluxo contínuo)</t>
        </is>
      </c>
      <c r="D44" s="9" t="inlineStr">
        <is>
          <t>Nacional</t>
        </is>
      </c>
      <c r="E44" s="7" t="inlineStr">
        <is>
          <t>Fluxo contínuo</t>
        </is>
      </c>
      <c r="F44" s="7" t="n"/>
      <c r="G44" s="7">
        <f>IF(ISNUMBER(F44),F44-TODAY(),"Fluxo contínuo")</f>
        <v/>
      </c>
      <c r="H44" s="9" t="inlineStr">
        <is>
          <t>Avalia propostas alinhadas às premissas de educação, esporte e cultura, priorizando criatividade, inovação, sustentabilidade e inclusão social. Envio da proposta por e-mail (patrocinios@santander.com.br) com antecedência mínima de 90 dias; resposta em até 30 dias.</t>
        </is>
      </c>
      <c r="I44" s="11" t="inlineStr">
        <is>
          <t>https://www.santander.com.br/institucional-santander/cultura/projetos-e-patrocinios</t>
        </is>
      </c>
      <c r="J44" s="9" t="n"/>
      <c r="K44" s="9" t="inlineStr">
        <is>
          <t>Publicação no LinkedIn (22/09/2026)</t>
        </is>
      </c>
      <c r="L44" s="7" t="n"/>
    </row>
    <row r="45" ht="15.75" customHeight="1" s="13">
      <c r="A45" s="7" t="n">
        <v>44</v>
      </c>
      <c r="B45" s="8" t="inlineStr">
        <is>
          <t>Vivo Patrocina — Cultura</t>
        </is>
      </c>
      <c r="C45" s="9" t="inlineStr">
        <is>
          <t>Patrocínio corporativo (fluxo contínuo)</t>
        </is>
      </c>
      <c r="D45" s="9" t="inlineStr">
        <is>
          <t>Nacional</t>
        </is>
      </c>
      <c r="E45" s="7" t="inlineStr">
        <is>
          <t>Fluxo contínuo</t>
        </is>
      </c>
      <c r="F45" s="7" t="n"/>
      <c r="G45" s="7">
        <f>IF(ISNUMBER(F45),F45-TODAY(),"Fluxo contínuo")</f>
        <v/>
      </c>
      <c r="H45" s="9" t="inlineStr">
        <is>
          <t>A Vivo patrocina projetos culturais (teatros, museus, espaços e programações que conectam pessoas à cultura). Apresentação de projetos por e-mail: patrocinios.br@telefonica.com. A página não detalha leis de incentivo nem critérios formais.</t>
        </is>
      </c>
      <c r="I45" s="11" t="inlineStr">
        <is>
          <t>https://vivo.com.br/a-vivo/a-empresa/patrocinios/cultura</t>
        </is>
      </c>
      <c r="J45" s="9" t="n"/>
      <c r="K45" s="9" t="inlineStr">
        <is>
          <t>Publicação no LinkedIn (22/09/2026)</t>
        </is>
      </c>
      <c r="L45" s="7" t="n"/>
    </row>
    <row r="46" ht="15.75" customHeight="1" s="13"/>
    <row r="47" ht="60" customHeight="1" s="13">
      <c r="B47" s="12" t="inlineStr">
        <is>
          <t>Fontes: publicação no LinkedIn (22/09/2026) + varredura completa da Central de Editais da Prosas (130 editais abertos em 24/09/2026), MinC (editais abertos), Secult-BA (Clique Fomento/SIIC), BRB Law, Capta e páginas oficiais. Linhas verdes = adicionadas em 24/09; laranja = prazo em até 15 dias; cinza = prazo vencido. Editais municipais de pequeno porte da PNAB (MG, SP, MS) e credenciamentos de oficineiros/artistas foram deixados de fora; ver aba Parecerista para credenciamentos. Confirmar prazos e valores nas páginas oficiais antes de submeter.</t>
        </is>
      </c>
    </row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L$45"/>
  <mergeCells count="1">
    <mergeCell ref="B47:I47"/>
  </mergeCells>
  <conditionalFormatting sqref="A2:L45">
    <cfRule type="expression" priority="1" dxfId="0">
      <formula>AND(ISNUMBER($F2),$F2-TODAY()&lt;=15)</formula>
    </cfRule>
    <cfRule type="expression" priority="2" dxfId="1">
      <formula>AND(ISNUMBER($F2),$F2&lt;TODAY())</formula>
    </cfRule>
  </conditionalFormatting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location="info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</hyperlink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4" customWidth="1" style="13" min="1" max="1"/>
    <col width="40" customWidth="1" style="13" min="2" max="2"/>
    <col width="28" customWidth="1" style="13" min="3" max="4"/>
    <col width="18" customWidth="1" style="13" min="5" max="5"/>
    <col width="12" customWidth="1" style="13" min="6" max="6"/>
    <col width="11" customWidth="1" style="13" min="7" max="7"/>
    <col width="72" customWidth="1" style="13" min="8" max="8"/>
    <col width="45" customWidth="1" style="13" min="9" max="9"/>
    <col width="42" customWidth="1" style="13" min="10" max="10"/>
    <col width="18" customWidth="1" style="13" min="11" max="11"/>
    <col width="10" customWidth="1" style="13" min="12" max="12"/>
    <col width="8.710000000000001" customWidth="1" style="13" min="13" max="26"/>
  </cols>
  <sheetData>
    <row r="1" ht="30" customHeight="1" s="13">
      <c r="A1" s="1" t="inlineStr">
        <is>
          <t>#</t>
        </is>
      </c>
      <c r="B1" s="1" t="inlineStr">
        <is>
          <t>Edital / Programa</t>
        </is>
      </c>
      <c r="C1" s="1" t="inlineStr">
        <is>
          <t>Tipo de apoio</t>
        </is>
      </c>
      <c r="D1" s="1" t="inlineStr">
        <is>
          <t>Abrangência</t>
        </is>
      </c>
      <c r="E1" s="1" t="inlineStr">
        <is>
          <t>Prazo</t>
        </is>
      </c>
      <c r="F1" s="1" t="inlineStr">
        <is>
          <t>Data-limite</t>
        </is>
      </c>
      <c r="G1" s="1" t="inlineStr">
        <is>
          <t>Dias restantes</t>
        </is>
      </c>
      <c r="H1" s="1" t="inlineStr">
        <is>
          <t>Resumo</t>
        </is>
      </c>
      <c r="I1" s="1" t="inlineStr">
        <is>
          <t>Link de inscrição</t>
        </is>
      </c>
      <c r="J1" s="1" t="inlineStr">
        <is>
          <t>Observações</t>
        </is>
      </c>
      <c r="K1" s="1" t="inlineStr">
        <is>
          <t>Fonte</t>
        </is>
      </c>
      <c r="L1" s="1" t="inlineStr">
        <is>
          <t>Novo (24/09)</t>
        </is>
      </c>
    </row>
    <row r="2">
      <c r="A2" s="2" t="n">
        <v>1</v>
      </c>
      <c r="B2" s="3" t="inlineStr">
        <is>
          <t>Ambev Brasilidades 2026 — leis estaduais de incentivo ao ESPORTE</t>
        </is>
      </c>
      <c r="C2" s="4" t="inlineStr">
        <is>
          <t>Patrocínio via leis ESTADUAIS de incentivo ao esporte</t>
        </is>
      </c>
      <c r="D2" s="4" t="inlineStr">
        <is>
          <t>12 estados com lei estadual de esporte</t>
        </is>
      </c>
      <c r="E2" s="2" t="inlineStr">
        <is>
          <t>30/09/2026 17h59</t>
        </is>
      </c>
      <c r="F2" s="5" t="n">
        <v>46295</v>
      </c>
      <c r="G2" s="2">
        <f>IF(ISNUMBER(F2),F2-TODAY(),"Fluxo contínuo")</f>
        <v/>
      </c>
      <c r="H2" s="4" t="inlineStr">
        <is>
          <t>O mesmo edital Ambev Brasilidades aceita projetos esportivos aprovados em leis estaduais de incentivo ao esporte em 12 estados (além das 16 leis de cultura). Até R$ 67 milhões no total. Inscrição pela Prosas.</t>
        </is>
      </c>
      <c r="I2" s="6" t="inlineStr">
        <is>
          <t>https://prosas.com.br/editais/16452-edital-ambev-brasilidades-2026</t>
        </is>
      </c>
      <c r="J2" s="4" t="n"/>
      <c r="K2" s="4" t="inlineStr">
        <is>
          <t>Prosas</t>
        </is>
      </c>
      <c r="L2" s="2" t="inlineStr">
        <is>
          <t>Sim</t>
        </is>
      </c>
    </row>
    <row r="3">
      <c r="A3" s="2" t="n">
        <v>2</v>
      </c>
      <c r="B3" s="3" t="inlineStr">
        <is>
          <t>Fundação Sicredi — Projetos Incentivados 2026 (Lei do Esporte)</t>
        </is>
      </c>
      <c r="C3" s="4" t="inlineStr">
        <is>
          <t>Patrocínio via Lei do Esporte e fundos</t>
        </is>
      </c>
      <c r="D3" s="4" t="inlineStr">
        <is>
          <t>Nacional (áreas Sicredi)</t>
        </is>
      </c>
      <c r="E3" s="2" t="inlineStr">
        <is>
          <t>30/09/2026</t>
        </is>
      </c>
      <c r="F3" s="5" t="n">
        <v>46295</v>
      </c>
      <c r="G3" s="2">
        <f>IF(ISNUMBER(F3),F3-TODAY(),"Fluxo contínuo")</f>
        <v/>
      </c>
      <c r="H3" s="4" t="inlineStr">
        <is>
          <t>Seleção da Fundação Sicredi para projetos aprovados na Lei do Esporte, Rouanet, FMDCA, Fundo do Idoso, Pronon e Pronas, com foco em vulnerabilidade social. Inscrição por formulário online.</t>
        </is>
      </c>
      <c r="I3" s="6" t="inlineStr">
        <is>
          <t>https://www.fundacaosicredi.com.br/</t>
        </is>
      </c>
      <c r="J3" s="4" t="n"/>
      <c r="K3" s="4" t="inlineStr">
        <is>
          <t>Busca web (BRB Law)</t>
        </is>
      </c>
      <c r="L3" s="2" t="inlineStr">
        <is>
          <t>Sim</t>
        </is>
      </c>
    </row>
    <row r="4">
      <c r="A4" s="2" t="n">
        <v>3</v>
      </c>
      <c r="B4" s="3" t="inlineStr">
        <is>
          <t>Mapfre — Projetos Incentivados 2026 (Lei do Esporte)</t>
        </is>
      </c>
      <c r="C4" s="4" t="inlineStr">
        <is>
          <t>Patrocínio via Lei Federal de Incentivo ao Esporte</t>
        </is>
      </c>
      <c r="D4" s="4" t="inlineStr">
        <is>
          <t>Nacional</t>
        </is>
      </c>
      <c r="E4" s="2" t="inlineStr">
        <is>
          <t>30/09/2026</t>
        </is>
      </c>
      <c r="F4" s="5" t="n">
        <v>46295</v>
      </c>
      <c r="G4" s="2">
        <f>IF(ISNUMBER(F4),F4-TODAY(),"Fluxo contínuo")</f>
        <v/>
      </c>
      <c r="H4" s="4" t="inlineStr">
        <is>
          <t>O edital Mapfre 2026 aceita projetos aprovados na Lei Federal de Incentivo ao Esporte (entre outras seis leis). Pessoas jurídicas sem fins lucrativos. Inscrição pelo Hub do Incentivo.</t>
        </is>
      </c>
      <c r="I4" s="6" t="inlineStr">
        <is>
          <t>https://mapfre.hubdoincentivo.com.br/</t>
        </is>
      </c>
      <c r="J4" s="4" t="n"/>
      <c r="K4" s="4" t="inlineStr">
        <is>
          <t>Busca web</t>
        </is>
      </c>
      <c r="L4" s="2" t="inlineStr">
        <is>
          <t>Sim</t>
        </is>
      </c>
    </row>
    <row r="5">
      <c r="A5" s="7" t="n">
        <v>4</v>
      </c>
      <c r="B5" s="8" t="inlineStr">
        <is>
          <t>Edital 003/2024 — Cadastro de Projetos da Lei Federal de Incentivo ao Esporte (Celesc)</t>
        </is>
      </c>
      <c r="C5" s="9" t="inlineStr">
        <is>
          <t>Patrocínio via Lei Federal de Incentivo ao Esporte (recursos Celesc)</t>
        </is>
      </c>
      <c r="D5" s="9" t="inlineStr">
        <is>
          <t>Santa Catarina</t>
        </is>
      </c>
      <c r="E5" s="7" t="inlineStr">
        <is>
          <t>30/10/2026 18:00</t>
        </is>
      </c>
      <c r="F5" s="10" t="n">
        <v>46325</v>
      </c>
      <c r="G5" s="7">
        <f>IF(ISNUMBER(F5),F5-TODAY(),"Fluxo contínuo")</f>
        <v/>
      </c>
      <c r="H5" s="9" t="inlineStr">
        <is>
          <t>A Celesc mantém cadastro contínuo para selecionar projetos esportivos já aprovados na Lei Federal de Incentivo ao Esporte, destinando parte do imposto de renda devido como patrocínio.</t>
        </is>
      </c>
      <c r="I5" s="11" t="inlineStr">
        <is>
          <t>https://prosas.com.br/editais/15181-edital-0032024-cadastro-de-projetos-da-lei-federal-de-incentivo-ao-esporte</t>
        </is>
      </c>
      <c r="J5" s="9" t="inlineStr">
        <is>
          <t>Login necessário para ver o edital completo.</t>
        </is>
      </c>
      <c r="K5" s="9" t="inlineStr">
        <is>
          <t>Planilha Google (aba existente)</t>
        </is>
      </c>
      <c r="L5" s="7" t="n"/>
    </row>
    <row r="6">
      <c r="A6" s="2" t="n">
        <v>5</v>
      </c>
      <c r="B6" s="3" t="inlineStr">
        <is>
          <t>Santos Brasil — Banco de Projetos Incentivados Municipais 2026 (Promifae/Proesporte)</t>
        </is>
      </c>
      <c r="C6" s="4" t="inlineStr">
        <is>
          <t>Patrocínio via leis MUNICIPAIS de incentivo ao esporte</t>
        </is>
      </c>
      <c r="D6" s="4" t="inlineStr">
        <is>
          <t>Santos e Guarujá (SP); Imbituba (SC)</t>
        </is>
      </c>
      <c r="E6" s="2" t="inlineStr">
        <is>
          <t>30/10/2026 18h</t>
        </is>
      </c>
      <c r="F6" s="5" t="n">
        <v>46325</v>
      </c>
      <c r="G6" s="2">
        <f>IF(ISNUMBER(F6),F6-TODAY(),"Fluxo contínuo")</f>
        <v/>
      </c>
      <c r="H6" s="4" t="inlineStr">
        <is>
          <t>Seleção de projetos esportivos aprovados em leis municipais (Promifae em Santos/Guarujá; Proesporte em Imbituba). Inscrição pela Prosas.</t>
        </is>
      </c>
      <c r="I6" s="6" t="inlineStr">
        <is>
          <t>https://prosas.com.br/editais/17235-banco-de-projetos-incentivados-municipais-2026-santos-brasil</t>
        </is>
      </c>
      <c r="J6" s="4" t="n"/>
      <c r="K6" s="4" t="inlineStr">
        <is>
          <t>Prosas</t>
        </is>
      </c>
      <c r="L6" s="2" t="inlineStr">
        <is>
          <t>Sim</t>
        </is>
      </c>
    </row>
    <row r="7">
      <c r="A7" s="7" t="n">
        <v>6</v>
      </c>
      <c r="B7" s="8" t="inlineStr">
        <is>
          <t>Chamada para Projetos Esportivos — Lei Paulista de Incentivo ao Esporte (LPIE)</t>
        </is>
      </c>
      <c r="C7" s="9" t="inlineStr">
        <is>
          <t>Lei estadual de incentivo fiscal (ICMS) — SP</t>
        </is>
      </c>
      <c r="D7" s="9" t="inlineStr">
        <is>
          <t>Estado de São Paulo</t>
        </is>
      </c>
      <c r="E7" s="7" t="inlineStr">
        <is>
          <t>31/10/2026</t>
        </is>
      </c>
      <c r="F7" s="10" t="n">
        <v>46326</v>
      </c>
      <c r="G7" s="7">
        <f>IF(ISNUMBER(F7),F7-TODAY(),"Fluxo contínuo")</f>
        <v/>
      </c>
      <c r="H7" s="9" t="inlineStr">
        <is>
          <t>Programa da Secretaria de Esportes do Estado de São Paulo que permite a empresas destinarem parte do ICMS devido a projetos esportivos (educacional, formação, rendimento, sociodesportivo, participativo, gestão e infraestrutura). Entidades privadas sem fins lucrativos de natureza esportiva.</t>
        </is>
      </c>
      <c r="I7" s="11" t="inlineStr">
        <is>
          <t>https://www.esportes.sp.gov.br/sec_esportes/lei_paulista_de_incentivo_ao_esporte/lpie</t>
        </is>
      </c>
      <c r="J7" s="9" t="inlineStr">
        <is>
          <t>Prazo divulgado via Prosas; confirmar no site oficial.</t>
        </is>
      </c>
      <c r="K7" s="9" t="inlineStr">
        <is>
          <t>Planilha Google (aba existente)</t>
        </is>
      </c>
      <c r="L7" s="7" t="n"/>
    </row>
    <row r="8">
      <c r="A8" s="7" t="n">
        <v>7</v>
      </c>
      <c r="B8" s="8" t="inlineStr">
        <is>
          <t>Programa Shell de Patrocínios Incentivados (aceita Lei do Esporte)</t>
        </is>
      </c>
      <c r="C8" s="9" t="inlineStr">
        <is>
          <t>Patrocínio via lei de incentivo (Rouanet ou Lei de Incentivo ao Esporte)</t>
        </is>
      </c>
      <c r="D8" s="9" t="inlineStr">
        <is>
          <t>Nacional, prioridade SP, RJ, ES e DF</t>
        </is>
      </c>
      <c r="E8" s="7" t="inlineStr">
        <is>
          <t>31/10/2026</t>
        </is>
      </c>
      <c r="F8" s="10" t="n">
        <v>46326</v>
      </c>
      <c r="G8" s="7">
        <f>IF(ISNUMBER(F8),F8-TODAY(),"Fluxo contínuo")</f>
        <v/>
      </c>
      <c r="H8" s="9" t="inlineStr">
        <is>
          <t>Mesmo programa da aba 'Editais' — também aceita projetos aprovados na Lei de Incentivo ao Esporte, alinhados a transformação social, diversidade e sustentabilidade. Propostas de 1º de março a 31 de outubro pela plataforma Mais Baluarte.</t>
        </is>
      </c>
      <c r="I8" s="11" t="inlineStr">
        <is>
          <t>https://maisbaluarte.com.br/patrocinioshell</t>
        </is>
      </c>
      <c r="J8" s="9" t="inlineStr">
        <is>
          <t>Duplicado por abranger a Lei do Esporte.</t>
        </is>
      </c>
      <c r="K8" s="9" t="inlineStr">
        <is>
          <t>Planilha Google (aba existente)</t>
        </is>
      </c>
      <c r="L8" s="7" t="n"/>
    </row>
    <row r="9">
      <c r="A9" s="7" t="n">
        <v>8</v>
      </c>
      <c r="B9" s="8" t="inlineStr">
        <is>
          <t>Edital 001/2026 — Cadastro de Projetos do Programa de Incentivo ao Esporte (PIE) — Celesc</t>
        </is>
      </c>
      <c r="C9" s="9" t="inlineStr">
        <is>
          <t>Patrocínio via Programa de Incentivo ao Esporte (estadual SC)</t>
        </is>
      </c>
      <c r="D9" s="9" t="inlineStr">
        <is>
          <t>Santa Catarina</t>
        </is>
      </c>
      <c r="E9" s="7" t="inlineStr">
        <is>
          <t>31/12/2026 18:00</t>
        </is>
      </c>
      <c r="F9" s="10" t="n">
        <v>46387</v>
      </c>
      <c r="G9" s="7">
        <f>IF(ISNUMBER(F9),F9-TODAY(),"Fluxo contínuo")</f>
        <v/>
      </c>
      <c r="H9" s="9" t="inlineStr">
        <is>
          <t>Cadastro contínuo da Celesc para projetos esportivos aprovados no Programa de Incentivo ao Esporte (PIE) de Santa Catarina, com seleção para recebimento de patrocínio com recursos próprios da empresa.</t>
        </is>
      </c>
      <c r="I9" s="11" t="inlineStr">
        <is>
          <t>https://prosas.com.br/editais/17521-edital-0012026-de-cadastro-de-projetos-do-programa-de-incentivo-ao-esporte-pie</t>
        </is>
      </c>
      <c r="J9" s="9" t="inlineStr">
        <is>
          <t>Login necessário.</t>
        </is>
      </c>
      <c r="K9" s="9" t="inlineStr">
        <is>
          <t>Planilha Google (aba existente)</t>
        </is>
      </c>
      <c r="L9" s="7" t="n"/>
    </row>
    <row r="10">
      <c r="A10" s="7" t="n">
        <v>9</v>
      </c>
      <c r="B10" s="8" t="inlineStr">
        <is>
          <t>Lei de Incentivo ao Esporte (LIE) — Cadastro de Proponente e Projetos</t>
        </is>
      </c>
      <c r="C10" s="9" t="inlineStr">
        <is>
          <t>Lei Federal de Incentivo ao Esporte (renúncia fiscal) — cadastro contínuo</t>
        </is>
      </c>
      <c r="D10" s="9" t="inlineStr">
        <is>
          <t>Nacional</t>
        </is>
      </c>
      <c r="E10" s="7" t="inlineStr">
        <is>
          <t>Fluxo contínuo (captação até 31/12)</t>
        </is>
      </c>
      <c r="F10" s="10" t="n">
        <v>46387</v>
      </c>
      <c r="G10" s="7">
        <f>IF(ISNUMBER(F10),F10-TODAY(),"Fluxo contínuo")</f>
        <v/>
      </c>
      <c r="H10" s="9" t="inlineStr">
        <is>
          <t>Lei nº 11.438/2006 permite a pessoas físicas e jurídicas destinar parte do Imposto de Renda para patrocinar ou doar a projetos esportivos e paradesportivos (educacional, participação, rendimento). Entidades esportivas sem fins lucrativos, com no mínimo 1 ano de atuação e sem débitos federais, cadastram-se e submetem projetos pelo Sistema da Lei de Incentivo ao Esporte (SLI).</t>
        </is>
      </c>
      <c r="I10" s="11" t="inlineStr">
        <is>
          <t>https://sli.mds.gov.br/</t>
        </is>
      </c>
      <c r="J10" s="9" t="inlineStr">
        <is>
          <t>Página oficial: https://www.gov.br/esporte/pt-br/acoes-e-programas/lei-de-incentivo-ao-esporte</t>
        </is>
      </c>
      <c r="K10" s="9" t="inlineStr">
        <is>
          <t>Planilha Google (aba existente)</t>
        </is>
      </c>
      <c r="L10" s="7" t="n"/>
    </row>
    <row r="11">
      <c r="A11" s="2" t="n">
        <v>10</v>
      </c>
      <c r="B11" s="3" t="inlineStr">
        <is>
          <t>BIP Esporte — Banco de Incentivados da Prosas</t>
        </is>
      </c>
      <c r="C11" s="4" t="inlineStr">
        <is>
          <t>Vitrine de projetos incentivados (fluxo contínuo)</t>
        </is>
      </c>
      <c r="D11" s="4" t="inlineStr">
        <is>
          <t>Nacional</t>
        </is>
      </c>
      <c r="E11" s="2" t="inlineStr">
        <is>
          <t>Fluxo contínuo</t>
        </is>
      </c>
      <c r="F11" s="2" t="n"/>
      <c r="G11" s="2">
        <f>IF(ISNUMBER(F11),F11-TODAY(),"Fluxo contínuo")</f>
        <v/>
      </c>
      <c r="H11" s="4" t="inlineStr">
        <is>
          <t>Cadastro gratuito de projetos aprovados na Lei de Incentivo ao Esporte para visibilidade junto a patrocinadores que usam a Prosas.</t>
        </is>
      </c>
      <c r="I11" s="6" t="inlineStr">
        <is>
          <t>https://bip.prosas.com.br</t>
        </is>
      </c>
      <c r="J11" s="4" t="n"/>
      <c r="K11" s="4" t="inlineStr">
        <is>
          <t>Prosas</t>
        </is>
      </c>
      <c r="L11" s="2" t="inlineStr">
        <is>
          <t>Sim</t>
        </is>
      </c>
    </row>
    <row r="12">
      <c r="A12" s="7" t="n">
        <v>11</v>
      </c>
      <c r="B12" s="8" t="inlineStr">
        <is>
          <t>Havan — Patrocínios (Lei do Esporte e Proesporte)</t>
        </is>
      </c>
      <c r="C12" s="9" t="inlineStr">
        <is>
          <t>Patrocínio via leis de incentivo ao esporte (federal e estaduais)</t>
        </is>
      </c>
      <c r="D12" s="9" t="inlineStr">
        <is>
          <t>Nacional (foco em estados com lojas)</t>
        </is>
      </c>
      <c r="E12" s="7" t="inlineStr">
        <is>
          <t>Fluxo contínuo</t>
        </is>
      </c>
      <c r="F12" s="7" t="n"/>
      <c r="G12" s="7">
        <f>IF(ISNUMBER(F12),F12-TODAY(),"Fluxo contínuo")</f>
        <v/>
      </c>
      <c r="H12" s="9" t="inlineStr">
        <is>
          <t>A Havan aceita projetos esportivos via Lei Federal de Incentivo ao Esporte e leis estaduais (Proesporte, PIE). Inscrição por formulário no site; retorno em 30 a 40 dias.</t>
        </is>
      </c>
      <c r="I12" s="11" t="inlineStr">
        <is>
          <t>https://www.havan.com.br/patrocinios</t>
        </is>
      </c>
      <c r="J12" s="9" t="n"/>
      <c r="K12" s="9" t="inlineStr">
        <is>
          <t>LinkedIn</t>
        </is>
      </c>
      <c r="L12" s="7" t="n"/>
    </row>
    <row r="13">
      <c r="A13" s="7" t="n">
        <v>12</v>
      </c>
      <c r="B13" s="8" t="inlineStr">
        <is>
          <t>Patrocínios e Parcerias Institucionais — CBMM</t>
        </is>
      </c>
      <c r="C13" s="9" t="inlineStr">
        <is>
          <t>Patrocínio corporativo (fluxo contínuo)</t>
        </is>
      </c>
      <c r="D13" s="9" t="inlineStr">
        <is>
          <t>Nacional, forte atuação em Araxá/MG</t>
        </is>
      </c>
      <c r="E13" s="7" t="inlineStr">
        <is>
          <t>Fluxo contínuo</t>
        </is>
      </c>
      <c r="F13" s="7" t="n"/>
      <c r="G13" s="7">
        <f>IF(ISNUMBER(F13),F13-TODAY(),"Fluxo contínuo")</f>
        <v/>
      </c>
      <c r="H13" s="9" t="inlineStr">
        <is>
          <t>A CBMM apoia iniciativas esportivas e comunitárias dentro de sua política de responsabilidade social. Ver também a chamada 'Projetos de Responsabilidade Social Corporativa CBMM 2026' na aba Editais (prazo 30/11/2026, via Prosas).</t>
        </is>
      </c>
      <c r="I13" s="11" t="inlineStr">
        <is>
          <t>https://cbmm.com/pt/sustentabilidade/patrocinios-institucionais</t>
        </is>
      </c>
      <c r="J13" s="9" t="inlineStr">
        <is>
          <t>Chamada 2026 no Prosas: https://prosas.com.br/editais/17327</t>
        </is>
      </c>
      <c r="K13" s="9" t="inlineStr">
        <is>
          <t>Planilha Google (aba existente)</t>
        </is>
      </c>
      <c r="L13" s="7" t="n"/>
    </row>
    <row r="15" ht="60" customHeight="1" s="13">
      <c r="B15" s="12" t="inlineStr">
        <is>
          <t>Fonte: aba 'Lei do Esporte' da planilha Google (24/09/2026) + varredura da Prosas e busca web em 24/09/2026. Linhas verdes = adicionadas nesta rodada. O Mapa da Cultura não lista editais específicos da Lei do Esporte.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L$13"/>
  <mergeCells count="1">
    <mergeCell ref="B15:I15"/>
  </mergeCells>
  <conditionalFormatting sqref="A2:L13">
    <cfRule type="expression" priority="1" dxfId="0">
      <formula>AND(ISNUMBER($F2),$F2-TODAY()&lt;=15)</formula>
    </cfRule>
    <cfRule type="expression" priority="2" dxfId="1">
      <formula>AND(ISNUMBER($F2),$F2&lt;TODAY())</formula>
    </cfRule>
  </conditionalFormatting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4" customWidth="1" style="13" min="1" max="1"/>
    <col width="40" customWidth="1" style="13" min="2" max="2"/>
    <col width="28" customWidth="1" style="13" min="3" max="4"/>
    <col width="18" customWidth="1" style="13" min="5" max="5"/>
    <col width="12" customWidth="1" style="13" min="6" max="6"/>
    <col width="11" customWidth="1" style="13" min="7" max="7"/>
    <col width="72" customWidth="1" style="13" min="8" max="8"/>
    <col width="45" customWidth="1" style="13" min="9" max="9"/>
    <col width="42" customWidth="1" style="13" min="10" max="10"/>
    <col width="18" customWidth="1" style="13" min="11" max="11"/>
    <col width="10" customWidth="1" style="13" min="12" max="12"/>
    <col width="8.710000000000001" customWidth="1" style="13" min="13" max="26"/>
  </cols>
  <sheetData>
    <row r="1" ht="30" customHeight="1" s="13">
      <c r="A1" s="1" t="inlineStr">
        <is>
          <t>#</t>
        </is>
      </c>
      <c r="B1" s="1" t="inlineStr">
        <is>
          <t>Edital / Programa</t>
        </is>
      </c>
      <c r="C1" s="1" t="inlineStr">
        <is>
          <t>Tipo de apoio</t>
        </is>
      </c>
      <c r="D1" s="1" t="inlineStr">
        <is>
          <t>Abrangência</t>
        </is>
      </c>
      <c r="E1" s="1" t="inlineStr">
        <is>
          <t>Prazo</t>
        </is>
      </c>
      <c r="F1" s="1" t="inlineStr">
        <is>
          <t>Data-limite</t>
        </is>
      </c>
      <c r="G1" s="1" t="inlineStr">
        <is>
          <t>Dias restantes</t>
        </is>
      </c>
      <c r="H1" s="1" t="inlineStr">
        <is>
          <t>Resumo</t>
        </is>
      </c>
      <c r="I1" s="1" t="inlineStr">
        <is>
          <t>Link de inscrição</t>
        </is>
      </c>
      <c r="J1" s="1" t="inlineStr">
        <is>
          <t>Observações</t>
        </is>
      </c>
      <c r="K1" s="1" t="inlineStr">
        <is>
          <t>Fonte</t>
        </is>
      </c>
      <c r="L1" s="1" t="inlineStr">
        <is>
          <t>Novo (24/09)</t>
        </is>
      </c>
    </row>
    <row r="2">
      <c r="A2" s="2" t="n">
        <v>1</v>
      </c>
      <c r="B2" s="3" t="inlineStr">
        <is>
          <t>MinC — Edital de Credenciamento de Pareceristas Técnicos</t>
        </is>
      </c>
      <c r="C2" s="4" t="inlineStr">
        <is>
          <t>Credenciamento (pessoa física ou MEI)</t>
        </is>
      </c>
      <c r="D2" s="4" t="inlineStr">
        <is>
          <t>Nacional</t>
        </is>
      </c>
      <c r="E2" s="2" t="inlineStr">
        <is>
          <t>Conferir cronograma no edital</t>
        </is>
      </c>
      <c r="F2" s="2" t="n"/>
      <c r="G2" s="2">
        <f>IF(ISNUMBER(F2),F2-TODAY(),"Fluxo contínuo")</f>
        <v/>
      </c>
      <c r="H2" s="4" t="inlineStr">
        <is>
          <t>Credenciamento de profissionais para análise técnica e emissão de pareceres sobre projetos dos programas de fomento do MinC. Pessoas físicas brasileiras maiores de 18 anos ou MEI com mínimo de cinco anos de experiência. Remuneração de R$ 60 a R$ 2.430 por parecer, conforme complexidade. Inscrição pelo Mapa da Cultura; análise documental em até 40 dias úteis.</t>
        </is>
      </c>
      <c r="I2" s="6" t="inlineStr">
        <is>
          <t>https://mapa.cultura.gov.br/oportunidade/10466/#info</t>
        </is>
      </c>
      <c r="J2" s="4" t="inlineStr">
        <is>
          <t>Página MinC: https://www.gov.br/cultura/pt-br/assuntos/editais/inscricoes-abertas/edital-de-credenciamento-de-pareceristas-tecnicos/edital-de-credenciamento-de-pareceristas-tecnicos</t>
        </is>
      </c>
      <c r="K2" s="4" t="inlineStr">
        <is>
          <t>MinC</t>
        </is>
      </c>
      <c r="L2" s="2" t="inlineStr">
        <is>
          <t>Sim</t>
        </is>
      </c>
    </row>
    <row r="3">
      <c r="A3" s="2" t="n">
        <v>2</v>
      </c>
      <c r="B3" s="3" t="inlineStr">
        <is>
          <t>Fundação Catarinense de Cultura — Edital de Credenciamento de Pareceristas nº 102/2026</t>
        </is>
      </c>
      <c r="C3" s="4" t="inlineStr">
        <is>
          <t>Credenciamento</t>
        </is>
      </c>
      <c r="D3" s="4" t="inlineStr">
        <is>
          <t>Santa Catarina</t>
        </is>
      </c>
      <c r="E3" s="2" t="inlineStr">
        <is>
          <t>Fluxo contínuo</t>
        </is>
      </c>
      <c r="F3" s="2" t="n"/>
      <c r="G3" s="2">
        <f>IF(ISNUMBER(F3),F3-TODAY(),"Fluxo contínuo")</f>
        <v/>
      </c>
      <c r="H3" s="4" t="inlineStr">
        <is>
          <t>Credenciamento contínuo de pareceristas para avaliação de projetos culturais da FCC-SC. Inscrição pela plataforma Prosas.</t>
        </is>
      </c>
      <c r="I3" s="6" t="inlineStr">
        <is>
          <t>https://prosas.com.br/editais/18788</t>
        </is>
      </c>
      <c r="J3" s="4" t="n"/>
      <c r="K3" s="4" t="inlineStr">
        <is>
          <t>Prosas</t>
        </is>
      </c>
      <c r="L3" s="2" t="inlineStr">
        <is>
          <t>Sim</t>
        </is>
      </c>
    </row>
    <row r="4">
      <c r="A4" s="2" t="n">
        <v>3</v>
      </c>
      <c r="B4" s="3" t="inlineStr">
        <is>
          <t>Fundação Cultural de Uberaba — Edital de Credenciamento de Pareceristas nº 001/2026</t>
        </is>
      </c>
      <c r="C4" s="4" t="inlineStr">
        <is>
          <t>Credenciamento</t>
        </is>
      </c>
      <c r="D4" s="4" t="inlineStr">
        <is>
          <t>Uberaba/MG</t>
        </is>
      </c>
      <c r="E4" s="2" t="inlineStr">
        <is>
          <t>Fluxo contínuo</t>
        </is>
      </c>
      <c r="F4" s="2" t="n"/>
      <c r="G4" s="2">
        <f>IF(ISNUMBER(F4),F4-TODAY(),"Fluxo contínuo")</f>
        <v/>
      </c>
      <c r="H4" s="4" t="inlineStr">
        <is>
          <t>Credenciamento contínuo de pareceristas para editais da Fundação Cultural de Uberaba. Inscrição pela plataforma Prosas.</t>
        </is>
      </c>
      <c r="I4" s="6" t="inlineStr">
        <is>
          <t>https://prosas.com.br/editais?status=abertos</t>
        </is>
      </c>
      <c r="J4" s="4" t="inlineStr">
        <is>
          <t>Localizar pelo nome na Central de Editais da Prosas.</t>
        </is>
      </c>
      <c r="K4" s="4" t="inlineStr">
        <is>
          <t>Prosas</t>
        </is>
      </c>
      <c r="L4" s="2" t="inlineStr">
        <is>
          <t>Sim</t>
        </is>
      </c>
    </row>
    <row r="5">
      <c r="A5" s="2" t="n">
        <v>4</v>
      </c>
      <c r="B5" s="3" t="inlineStr">
        <is>
          <t>Fundação Cultural Cassiano Ricardo (São José dos Campos) — Edital 005/FCCR/2024 Credenciamento de Pareceristas</t>
        </is>
      </c>
      <c r="C5" s="4" t="inlineStr">
        <is>
          <t>Credenciamento</t>
        </is>
      </c>
      <c r="D5" s="4" t="inlineStr">
        <is>
          <t>São José dos Campos/SP</t>
        </is>
      </c>
      <c r="E5" s="2" t="inlineStr">
        <is>
          <t>Fluxo contínuo</t>
        </is>
      </c>
      <c r="F5" s="2" t="n"/>
      <c r="G5" s="2">
        <f>IF(ISNUMBER(F5),F5-TODAY(),"Fluxo contínuo")</f>
        <v/>
      </c>
      <c r="H5" s="4" t="inlineStr">
        <is>
          <t>Credenciamento contínuo de pareceristas de projetos culturais da FCCR. Inscrição pela plataforma Prosas.</t>
        </is>
      </c>
      <c r="I5" s="6" t="inlineStr">
        <is>
          <t>https://prosas.com.br/editais?status=abertos</t>
        </is>
      </c>
      <c r="J5" s="4" t="inlineStr">
        <is>
          <t>Localizar pelo nome na Central de Editais da Prosas.</t>
        </is>
      </c>
      <c r="K5" s="4" t="inlineStr">
        <is>
          <t>Prosas</t>
        </is>
      </c>
      <c r="L5" s="2" t="inlineStr">
        <is>
          <t>Sim</t>
        </is>
      </c>
    </row>
    <row r="6">
      <c r="A6" s="2" t="n">
        <v>5</v>
      </c>
      <c r="B6" s="3" t="inlineStr">
        <is>
          <t>Uberlândia/MG — Edital SMCT nº 140/2025 Credenciamento de Pareceristas</t>
        </is>
      </c>
      <c r="C6" s="4" t="inlineStr">
        <is>
          <t>Credenciamento</t>
        </is>
      </c>
      <c r="D6" s="4" t="inlineStr">
        <is>
          <t>Uberlândia/MG</t>
        </is>
      </c>
      <c r="E6" s="2" t="inlineStr">
        <is>
          <t>Fluxo contínuo</t>
        </is>
      </c>
      <c r="F6" s="2" t="n"/>
      <c r="G6" s="2">
        <f>IF(ISNUMBER(F6),F6-TODAY(),"Fluxo contínuo")</f>
        <v/>
      </c>
      <c r="H6" s="4" t="inlineStr">
        <is>
          <t>Credenciamento contínuo de pareceristas de projetos da Secretaria Municipal de Cultura e Turismo de Uberlândia. Inscrição pela plataforma Prosas.</t>
        </is>
      </c>
      <c r="I6" s="6" t="inlineStr">
        <is>
          <t>https://prosas.com.br/editais?status=abertos</t>
        </is>
      </c>
      <c r="J6" s="4" t="inlineStr">
        <is>
          <t>Localizar pelo nome na Central de Editais da Prosas.</t>
        </is>
      </c>
      <c r="K6" s="4" t="inlineStr">
        <is>
          <t>Prosas</t>
        </is>
      </c>
      <c r="L6" s="2" t="inlineStr">
        <is>
          <t>Sim</t>
        </is>
      </c>
    </row>
    <row r="7">
      <c r="A7" s="2" t="n">
        <v>6</v>
      </c>
      <c r="B7" s="3" t="inlineStr">
        <is>
          <t>Sabará/MG — Edital de Credenciamento 011/2026 Pareceristas PNAB</t>
        </is>
      </c>
      <c r="C7" s="4" t="inlineStr">
        <is>
          <t>Credenciamento</t>
        </is>
      </c>
      <c r="D7" s="4" t="inlineStr">
        <is>
          <t>Sabará/MG</t>
        </is>
      </c>
      <c r="E7" s="2" t="inlineStr">
        <is>
          <t>Fluxo contínuo</t>
        </is>
      </c>
      <c r="F7" s="2" t="n"/>
      <c r="G7" s="2">
        <f>IF(ISNUMBER(F7),F7-TODAY(),"Fluxo contínuo")</f>
        <v/>
      </c>
      <c r="H7" s="4" t="inlineStr">
        <is>
          <t>Credenciamento contínuo de pareceristas para os editais da Política Nacional Aldir Blanc (PNAB) do município de Sabará. Inscrição pela plataforma Prosas.</t>
        </is>
      </c>
      <c r="I7" s="6" t="inlineStr">
        <is>
          <t>https://prosas.com.br/editais?status=abertos</t>
        </is>
      </c>
      <c r="J7" s="4" t="inlineStr">
        <is>
          <t>Localizar pelo nome na Central de Editais da Prosas.</t>
        </is>
      </c>
      <c r="K7" s="4" t="inlineStr">
        <is>
          <t>Prosas</t>
        </is>
      </c>
      <c r="L7" s="2" t="inlineStr">
        <is>
          <t>Sim</t>
        </is>
      </c>
    </row>
    <row r="8">
      <c r="A8" s="2" t="n">
        <v>7</v>
      </c>
      <c r="B8" s="3" t="inlineStr">
        <is>
          <t>Fundação Cultural de Itajaí — Edital 011/2025 Credenciamento de Empresas de Captação de Recursos</t>
        </is>
      </c>
      <c r="C8" s="4" t="inlineStr">
        <is>
          <t>Credenciamento de prestadoras (captação via incentivo fiscal)</t>
        </is>
      </c>
      <c r="D8" s="4" t="inlineStr">
        <is>
          <t>Itajaí/SC</t>
        </is>
      </c>
      <c r="E8" s="2" t="inlineStr">
        <is>
          <t>Fluxo contínuo</t>
        </is>
      </c>
      <c r="F8" s="2" t="n"/>
      <c r="G8" s="2">
        <f>IF(ISNUMBER(F8),F8-TODAY(),"Fluxo contínuo")</f>
        <v/>
      </c>
      <c r="H8" s="4" t="inlineStr">
        <is>
          <t>Credenciamento de empresas especializadas em captação de recursos por meio de incentivos fiscais e/ou recursos próprios de patrocinadores, para atuar junto a projetos da Fundação Cultural de Itajaí. Inscrição pela plataforma Prosas.</t>
        </is>
      </c>
      <c r="I8" s="6" t="inlineStr">
        <is>
          <t>https://prosas.com.br/editais/16505</t>
        </is>
      </c>
      <c r="J8" s="4" t="n"/>
      <c r="K8" s="4" t="inlineStr">
        <is>
          <t>Prosas</t>
        </is>
      </c>
      <c r="L8" s="2" t="inlineStr">
        <is>
          <t>Sim</t>
        </is>
      </c>
    </row>
    <row r="10" ht="60" customHeight="1" s="13">
      <c r="B10" s="12" t="inlineStr">
        <is>
          <t>Fonte: MinC (editais abertos) e Central de Editais da Prosas em 24/09/2026. As páginas individuais da Prosas exigem login para ver o edital completo; onde o link direto não foi confirmado, buscar pelo nome na Central de Editais.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L$8"/>
  <mergeCells count="1">
    <mergeCell ref="B10:I10"/>
  </mergeCells>
  <conditionalFormatting sqref="A2:L8">
    <cfRule type="expression" priority="1" dxfId="0">
      <formula>AND(ISNUMBER($F2),$F2-TODAY()&lt;=15)</formula>
    </cfRule>
    <cfRule type="expression" priority="2" dxfId="1">
      <formula>AND(ISNUMBER($F2),$F2&lt;TODAY())</formula>
    </cfRule>
  </conditionalFormatting>
  <hyperlinks>
    <hyperlink xmlns:r="http://schemas.openxmlformats.org/officeDocument/2006/relationships" ref="I2" location="info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2026-09-25T20:37:30Z</dcterms:created>
  <dcterms:modified xsi:type="dcterms:W3CDTF">2026-09-25T20:37:30Z</dcterms:modified>
</cp:coreProperties>
</file>